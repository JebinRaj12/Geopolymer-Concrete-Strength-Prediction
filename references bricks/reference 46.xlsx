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ld-kogbara\Desktop\"/>
    </mc:Choice>
  </mc:AlternateContent>
  <xr:revisionPtr revIDLastSave="0" documentId="13_ncr:1_{D9992B0F-ACF6-45E9-897E-378A7BE813ED}" xr6:coauthVersionLast="47" xr6:coauthVersionMax="47" xr10:uidLastSave="{00000000-0000-0000-0000-000000000000}"/>
  <bookViews>
    <workbookView xWindow="-108" yWindow="-108" windowWidth="23256" windowHeight="12576" xr2:uid="{315FBEDE-0422-49C9-9D39-DDFE1C271BA6}"/>
  </bookViews>
  <sheets>
    <sheet name="Table 1" sheetId="1" r:id="rId1"/>
    <sheet name="Table 2" sheetId="2" r:id="rId2"/>
    <sheet name="Table 3" sheetId="3" r:id="rId3"/>
    <sheet name="Fig 1 - Conc. Agg. Sieve Curve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C11" i="4"/>
  <c r="C10" i="4"/>
  <c r="C9" i="4"/>
  <c r="C8" i="4"/>
  <c r="C7" i="4"/>
  <c r="C6" i="4"/>
  <c r="C5" i="4"/>
  <c r="C4" i="4"/>
  <c r="D4" i="4" s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4" i="1"/>
  <c r="K5" i="3"/>
  <c r="K4" i="3"/>
  <c r="N5" i="2"/>
  <c r="N6" i="2"/>
  <c r="N7" i="2"/>
  <c r="N8" i="2"/>
  <c r="N9" i="2"/>
  <c r="N10" i="2"/>
  <c r="N12" i="2"/>
  <c r="N13" i="2"/>
  <c r="N4" i="2"/>
  <c r="U5" i="3"/>
  <c r="Q5" i="3"/>
  <c r="P5" i="3"/>
  <c r="O5" i="3"/>
  <c r="U4" i="3"/>
  <c r="Q4" i="3"/>
  <c r="P4" i="3"/>
  <c r="O4" i="3"/>
  <c r="Y13" i="2"/>
  <c r="U13" i="2"/>
  <c r="T13" i="2"/>
  <c r="S13" i="2"/>
  <c r="Y12" i="2"/>
  <c r="U12" i="2"/>
  <c r="T12" i="2"/>
  <c r="S12" i="2"/>
  <c r="Y11" i="2"/>
  <c r="U11" i="2"/>
  <c r="T11" i="2"/>
  <c r="S11" i="2"/>
  <c r="Y10" i="2"/>
  <c r="U10" i="2"/>
  <c r="T10" i="2"/>
  <c r="S10" i="2"/>
  <c r="Y9" i="2"/>
  <c r="U9" i="2"/>
  <c r="T9" i="2"/>
  <c r="S9" i="2"/>
  <c r="Y8" i="2"/>
  <c r="U8" i="2"/>
  <c r="T8" i="2"/>
  <c r="S8" i="2"/>
  <c r="Y7" i="2"/>
  <c r="U7" i="2"/>
  <c r="T7" i="2"/>
  <c r="S7" i="2"/>
  <c r="Y6" i="2"/>
  <c r="U6" i="2"/>
  <c r="T6" i="2"/>
  <c r="S6" i="2"/>
  <c r="Y5" i="2"/>
  <c r="U5" i="2"/>
  <c r="T5" i="2"/>
  <c r="S5" i="2"/>
  <c r="Y4" i="2"/>
  <c r="U4" i="2"/>
  <c r="T4" i="2"/>
  <c r="S4" i="2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4" i="1"/>
  <c r="R18" i="1"/>
  <c r="R20" i="1"/>
  <c r="R5" i="3" l="1"/>
  <c r="R4" i="3"/>
  <c r="D5" i="4"/>
  <c r="E4" i="4"/>
  <c r="H10" i="4" s="1"/>
  <c r="V13" i="2"/>
  <c r="V4" i="2"/>
  <c r="V12" i="2"/>
  <c r="V9" i="2"/>
  <c r="V5" i="2"/>
  <c r="V7" i="2"/>
  <c r="V11" i="2"/>
  <c r="V6" i="2"/>
  <c r="V8" i="2"/>
  <c r="V10" i="2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R5" i="1"/>
  <c r="R6" i="1"/>
  <c r="R7" i="1"/>
  <c r="R8" i="1"/>
  <c r="U8" i="1" s="1"/>
  <c r="R9" i="1"/>
  <c r="R10" i="1"/>
  <c r="R11" i="1"/>
  <c r="R12" i="1"/>
  <c r="R13" i="1"/>
  <c r="R14" i="1"/>
  <c r="R15" i="1"/>
  <c r="U15" i="1" s="1"/>
  <c r="R16" i="1"/>
  <c r="R17" i="1"/>
  <c r="R19" i="1"/>
  <c r="R21" i="1"/>
  <c r="R22" i="1"/>
  <c r="R23" i="1"/>
  <c r="R24" i="1"/>
  <c r="U24" i="1" s="1"/>
  <c r="R25" i="1"/>
  <c r="R26" i="1"/>
  <c r="R27" i="1"/>
  <c r="R28" i="1"/>
  <c r="R29" i="1"/>
  <c r="R30" i="1"/>
  <c r="U30" i="1" s="1"/>
  <c r="R31" i="1"/>
  <c r="U31" i="1" s="1"/>
  <c r="T4" i="1"/>
  <c r="R4" i="1"/>
  <c r="A18" i="1"/>
  <c r="A19" i="1" s="1"/>
  <c r="D6" i="4" l="1"/>
  <c r="E5" i="4"/>
  <c r="H9" i="4" s="1"/>
  <c r="U21" i="1"/>
  <c r="U4" i="1"/>
  <c r="U12" i="1"/>
  <c r="U28" i="1"/>
  <c r="U10" i="1"/>
  <c r="U26" i="1"/>
  <c r="U17" i="1"/>
  <c r="U9" i="1"/>
  <c r="U19" i="1"/>
  <c r="U25" i="1"/>
  <c r="U29" i="1"/>
  <c r="U27" i="1"/>
  <c r="U23" i="1"/>
  <c r="U22" i="1"/>
  <c r="U18" i="1"/>
  <c r="U20" i="1"/>
  <c r="U14" i="1"/>
  <c r="U16" i="1"/>
  <c r="U13" i="1"/>
  <c r="U11" i="1"/>
  <c r="U7" i="1"/>
  <c r="U6" i="1"/>
  <c r="U5" i="1"/>
  <c r="E6" i="4" l="1"/>
  <c r="H8" i="4" s="1"/>
  <c r="D7" i="4"/>
  <c r="E7" i="4" l="1"/>
  <c r="H7" i="4" s="1"/>
  <c r="D8" i="4"/>
  <c r="E8" i="4" l="1"/>
  <c r="H6" i="4" s="1"/>
  <c r="D9" i="4"/>
  <c r="E9" i="4" l="1"/>
  <c r="H5" i="4" s="1"/>
  <c r="D10" i="4"/>
  <c r="E10" i="4" l="1"/>
  <c r="H4" i="4" s="1"/>
  <c r="D11" i="4"/>
  <c r="E11" i="4" s="1"/>
</calcChain>
</file>

<file path=xl/sharedStrings.xml><?xml version="1.0" encoding="utf-8"?>
<sst xmlns="http://schemas.openxmlformats.org/spreadsheetml/2006/main" count="348" uniqueCount="79">
  <si>
    <t>Mix No.</t>
  </si>
  <si>
    <t>CaO powder</t>
  </si>
  <si>
    <t>Gypsum</t>
  </si>
  <si>
    <t>Total</t>
  </si>
  <si>
    <t>Graded concrete aggregate</t>
  </si>
  <si>
    <t>–</t>
  </si>
  <si>
    <t>Mixed using hot water at 60°C</t>
  </si>
  <si>
    <t xml:space="preserve">                            –</t>
  </si>
  <si>
    <t>Steel slag</t>
  </si>
  <si>
    <t>Waste solid brick powder</t>
  </si>
  <si>
    <t>Waste hollow brick powder</t>
  </si>
  <si>
    <t>Waste concrete aggregate</t>
  </si>
  <si>
    <t>Waste solid brick aggregate</t>
  </si>
  <si>
    <t>Microsilica</t>
  </si>
  <si>
    <t>Superplasticizer</t>
  </si>
  <si>
    <t>Specific mix design comment</t>
  </si>
  <si>
    <t>Water/cementitious materials ratio</t>
  </si>
  <si>
    <t>Replicate 1 weight at at testing (g)</t>
  </si>
  <si>
    <t>Replicate 2 weight at at testing (g)</t>
  </si>
  <si>
    <t>Average 7-day Compressive Strength (MPa)</t>
  </si>
  <si>
    <t>Aluminosilicate sources</t>
  </si>
  <si>
    <t>Alkaline activators</t>
  </si>
  <si>
    <t>Additives</t>
  </si>
  <si>
    <t xml:space="preserve">Mixed using hot water at 50°C  </t>
  </si>
  <si>
    <t>Mixed using hot water at 55°C</t>
  </si>
  <si>
    <t>Mixed using hot water at 50°C</t>
  </si>
  <si>
    <r>
      <t xml:space="preserve">Mixed with normal water, </t>
    </r>
    <r>
      <rPr>
        <sz val="11"/>
        <color rgb="FF000000"/>
        <rFont val="Calibri"/>
        <family val="2"/>
        <scheme val="minor"/>
      </rPr>
      <t>cured at 50°C for 24 hours</t>
    </r>
  </si>
  <si>
    <r>
      <t>Mix design (percent by weight) and 7-day compressive strengths and densities of geopolymer mortars with solid powdered lime-based {Ca(OH)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or CaO} single alkaline activator cured at ambient temperature</t>
    </r>
  </si>
  <si>
    <r>
      <t>Ca(OH)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powder</t>
    </r>
  </si>
  <si>
    <r>
      <t>Al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</si>
  <si>
    <r>
      <t>Replicate 2 density 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</si>
  <si>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Replicate 1 density (kg/m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)</t>
    </r>
  </si>
  <si>
    <t>Average weight at testing (g)</t>
  </si>
  <si>
    <t xml:space="preserve">7-day Compressive Strength (MPa) for Replicate 1 </t>
  </si>
  <si>
    <t xml:space="preserve">7-day Compressive Strength (MPa) for Replicate 2 </t>
  </si>
  <si>
    <r>
      <t>Average 7-day density (kg/m</t>
    </r>
    <r>
      <rPr>
        <vertAlign val="superscript"/>
        <sz val="11"/>
        <color rgb="FF0000CC"/>
        <rFont val="Calibri"/>
        <family val="2"/>
        <scheme val="minor"/>
      </rPr>
      <t>3</t>
    </r>
    <r>
      <rPr>
        <sz val="11"/>
        <color rgb="FF0000CC"/>
        <rFont val="Calibri"/>
        <family val="2"/>
        <scheme val="minor"/>
      </rPr>
      <t>)</t>
    </r>
  </si>
  <si>
    <r>
      <t>Mix design (percent by weight) and 7-day compressive strengths and densities of geopolymer mortars with solid powdered NaOH/Na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SiO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-based binary or ternary alkaline activators mostly cured at ambient temperature </t>
    </r>
  </si>
  <si>
    <t>Ground NaOH pellets</t>
  </si>
  <si>
    <r>
      <t>CaCO</t>
    </r>
    <r>
      <rPr>
        <vertAlign val="sub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powder</t>
    </r>
  </si>
  <si>
    <r>
      <t>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SiO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powder</t>
    </r>
  </si>
  <si>
    <t>5**</t>
  </si>
  <si>
    <t>Equivalent NaOH molarity = 4.8</t>
  </si>
  <si>
    <t>Equivalent NaOH molarity = 6.8</t>
  </si>
  <si>
    <t>Equivalent NaOH molarity = 9.0</t>
  </si>
  <si>
    <t>Equivalent NaOH molarity = 6.7</t>
  </si>
  <si>
    <t>Equivalent NaOH molarity = 5.0, cured at 40°C for 7 days</t>
  </si>
  <si>
    <t>Equivalent NaOH molarity = 5.0</t>
  </si>
  <si>
    <t>Equivalent NaOH molarity = 16.8, cured at 40°C for 7 days</t>
  </si>
  <si>
    <t>Equivalent NaOH molarity* = 4.1</t>
  </si>
  <si>
    <t>Equivalent NaOH molarity = 2.0, cured at 40°C for 7 days</t>
  </si>
  <si>
    <t xml:space="preserve">Note: There was collective grinding of the powdered materials for all mixes. Samples were cured at ambient temperature unless stated otherwise in the specific mix design comment.                      </t>
  </si>
  <si>
    <t xml:space="preserve">*The equivalent NaOH molarity is calculated as though the NaOH pellets were dissolved in the water and used in viscous solution form. **Waste glass powder replaced steel slag. </t>
  </si>
  <si>
    <t>Total*</t>
  </si>
  <si>
    <r>
      <t>Mix design (percent by weight) and 7-day compressive strengths and densities of geopolymer mortars with viscous solutions of caustic soda-based (NaOH or NaOH-Na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SiO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 single or binary alkaline activators cured at 40°C temperature</t>
    </r>
  </si>
  <si>
    <t>Waste glass powder</t>
  </si>
  <si>
    <t>12 M NaOH solution / Cementitious materials ratio</t>
  </si>
  <si>
    <r>
      <t>12 M NaOH-Na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SiO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solution / Cementitious materials ratio</t>
    </r>
  </si>
  <si>
    <t>There was collective grinding of the powdered materials. Specimens cured at 40°C for 7 days</t>
  </si>
  <si>
    <t>Total pre-sieving</t>
  </si>
  <si>
    <t>4 mm</t>
  </si>
  <si>
    <t>&lt; 0.075</t>
  </si>
  <si>
    <t>3.15 mm</t>
  </si>
  <si>
    <t>&lt; 0.15</t>
  </si>
  <si>
    <t>2 mm</t>
  </si>
  <si>
    <t>&lt; 0.5</t>
  </si>
  <si>
    <t>1 mm</t>
  </si>
  <si>
    <t xml:space="preserve">&lt; 1.0 </t>
  </si>
  <si>
    <t>500 micron</t>
  </si>
  <si>
    <t xml:space="preserve">&lt; 2.0 </t>
  </si>
  <si>
    <t>150 micron</t>
  </si>
  <si>
    <t xml:space="preserve">&lt; 3.15 </t>
  </si>
  <si>
    <t>75 micron</t>
  </si>
  <si>
    <t xml:space="preserve">&lt; 4.0 </t>
  </si>
  <si>
    <t>Pan</t>
  </si>
  <si>
    <t>Percent retained (%)</t>
  </si>
  <si>
    <t>Mass of waste concrete aggregate  (g)</t>
  </si>
  <si>
    <t>Cumulative percent retained (%)</t>
  </si>
  <si>
    <t>Percentage passing (%)</t>
  </si>
  <si>
    <t>Sieve sizes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</si>
</sst>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rgb="FF0000CC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/>
    <xf numFmtId="164" fontId="0" fillId="0" borderId="0" xfId="0" applyNumberFormat="1"/>
    <xf numFmtId="1" fontId="0" fillId="0" borderId="0" xfId="0" applyNumberFormat="1"/>
    <xf numFmtId="0" fontId="12" fillId="0" borderId="0" xfId="0" applyFont="1"/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96557856618169"/>
          <c:y val="4.639619552506432E-2"/>
          <c:w val="0.82704120863779107"/>
          <c:h val="0.77228346456692909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3638843426077468E-2"/>
                  <c:y val="-7.8616352201259301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F5-49FF-B4E8-70AD121773B5}"/>
                </c:ext>
              </c:extLst>
            </c:dLbl>
            <c:dLbl>
              <c:idx val="2"/>
              <c:layout>
                <c:manualLayout>
                  <c:x val="-5.4555373704310373E-3"/>
                  <c:y val="1.179245283018860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F5-49FF-B4E8-70AD121773B5}"/>
                </c:ext>
              </c:extLst>
            </c:dLbl>
            <c:dLbl>
              <c:idx val="3"/>
              <c:layout>
                <c:manualLayout>
                  <c:x val="2.7277686852154939E-3"/>
                  <c:y val="3.9308176100628211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F5-49FF-B4E8-70AD121773B5}"/>
                </c:ext>
              </c:extLst>
            </c:dLbl>
            <c:dLbl>
              <c:idx val="5"/>
              <c:layout>
                <c:manualLayout>
                  <c:x val="-1.3638843426077468E-2"/>
                  <c:y val="1.965408805031444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F5-49FF-B4E8-70AD121773B5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 1 - Conc. Agg. Sieve Curve'!$G$4:$G$10</c:f>
              <c:strCache>
                <c:ptCount val="7"/>
                <c:pt idx="0">
                  <c:v>&lt; 0.075</c:v>
                </c:pt>
                <c:pt idx="1">
                  <c:v>&lt; 0.15</c:v>
                </c:pt>
                <c:pt idx="2">
                  <c:v>&lt; 0.5</c:v>
                </c:pt>
                <c:pt idx="3">
                  <c:v>&lt; 1.0 </c:v>
                </c:pt>
                <c:pt idx="4">
                  <c:v>&lt; 2.0 </c:v>
                </c:pt>
                <c:pt idx="5">
                  <c:v>&lt; 3.15 </c:v>
                </c:pt>
                <c:pt idx="6">
                  <c:v>&lt; 4.0 </c:v>
                </c:pt>
              </c:strCache>
            </c:strRef>
          </c:cat>
          <c:val>
            <c:numRef>
              <c:f>'Fig 1 - Conc. Agg. Sieve Curve'!$H$4:$H$10</c:f>
              <c:numCache>
                <c:formatCode>0.0</c:formatCode>
                <c:ptCount val="7"/>
                <c:pt idx="0">
                  <c:v>1.1764705882353041</c:v>
                </c:pt>
                <c:pt idx="1">
                  <c:v>10.588235294117652</c:v>
                </c:pt>
                <c:pt idx="2">
                  <c:v>40</c:v>
                </c:pt>
                <c:pt idx="3">
                  <c:v>48.235294117647058</c:v>
                </c:pt>
                <c:pt idx="4">
                  <c:v>60</c:v>
                </c:pt>
                <c:pt idx="5">
                  <c:v>90.588235294117652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F5-49FF-B4E8-70AD12177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271920"/>
        <c:axId val="1"/>
      </c:lineChart>
      <c:catAx>
        <c:axId val="197627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Sieve size (mm)</a:t>
                </a:r>
              </a:p>
            </c:rich>
          </c:tx>
          <c:layout>
            <c:manualLayout>
              <c:xMode val="edge"/>
              <c:yMode val="edge"/>
              <c:x val="0.44735750093431442"/>
              <c:y val="0.916019474570395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Percentage passing</a:t>
                </a:r>
              </a:p>
            </c:rich>
          </c:tx>
          <c:layout>
            <c:manualLayout>
              <c:xMode val="edge"/>
              <c:yMode val="edge"/>
              <c:x val="5.4531747361367061E-3"/>
              <c:y val="0.236617268360322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6271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68580</xdr:rowOff>
    </xdr:from>
    <xdr:to>
      <xdr:col>11</xdr:col>
      <xdr:colOff>441960</xdr:colOff>
      <xdr:row>29</xdr:row>
      <xdr:rowOff>7620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1D2872D7-3B49-45D4-8FA4-BAC14EC87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ginald-kogbara\Desktop\All%20Here\For%20Geopolymer%20Paper%20and%20Other%20Papers\Initial%20trials%20on%20geopolymer%20-%20Jan%202022.xls" TargetMode="External"/><Relationship Id="rId1" Type="http://schemas.openxmlformats.org/officeDocument/2006/relationships/externalLinkPath" Target="All%20Here/For%20Geopolymer%20Paper%20and%20Other%20Papers/Initial%20trials%20on%20geopolymer%20-%20Jan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M1-5"/>
      <sheetName val="Composition analysis"/>
      <sheetName val="Info"/>
      <sheetName val="GMixes 1 - 45"/>
      <sheetName val="GM 46 &amp; beyond - fast set, NaOH"/>
      <sheetName val="All mix prop."/>
      <sheetName val="All mix prop. (For paper)"/>
      <sheetName val="AS+DEA tests"/>
      <sheetName val="Conc. Agg. Sieve Curve"/>
      <sheetName val="For paper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J4" t="str">
            <v>&lt; 0.075</v>
          </cell>
          <cell r="K4">
            <v>1.1764705882353041</v>
          </cell>
        </row>
        <row r="5">
          <cell r="J5" t="str">
            <v>&lt; 0.15</v>
          </cell>
          <cell r="K5">
            <v>10.588235294117652</v>
          </cell>
        </row>
        <row r="6">
          <cell r="J6" t="str">
            <v>&lt; 0.5</v>
          </cell>
          <cell r="K6">
            <v>40</v>
          </cell>
        </row>
        <row r="7">
          <cell r="J7" t="str">
            <v xml:space="preserve">&lt; 1.0 </v>
          </cell>
          <cell r="K7">
            <v>48.235294117647058</v>
          </cell>
        </row>
        <row r="8">
          <cell r="J8" t="str">
            <v xml:space="preserve">&lt; 2.0 </v>
          </cell>
          <cell r="K8">
            <v>60</v>
          </cell>
        </row>
        <row r="9">
          <cell r="J9" t="str">
            <v xml:space="preserve">&lt; 3.15 </v>
          </cell>
          <cell r="K9">
            <v>90.588235294117652</v>
          </cell>
        </row>
        <row r="10">
          <cell r="J10" t="str">
            <v xml:space="preserve">&lt; 4.0 </v>
          </cell>
          <cell r="K10">
            <v>100</v>
          </cell>
        </row>
        <row r="19">
          <cell r="AD19">
            <v>6.4864864864864842</v>
          </cell>
        </row>
        <row r="20">
          <cell r="AD20">
            <v>23.613086770981511</v>
          </cell>
        </row>
        <row r="21">
          <cell r="AD21">
            <v>52.773826458036986</v>
          </cell>
        </row>
        <row r="22">
          <cell r="AD22">
            <v>65.775248933143672</v>
          </cell>
        </row>
        <row r="23">
          <cell r="AD23">
            <v>79.80085348506401</v>
          </cell>
        </row>
        <row r="24">
          <cell r="AD24">
            <v>92.716927453769557</v>
          </cell>
        </row>
        <row r="25">
          <cell r="AD25">
            <v>100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4AF5-E2F7-43A3-826D-B5CA1B9B68FA}">
  <dimension ref="A1:X31"/>
  <sheetViews>
    <sheetView tabSelected="1" workbookViewId="0">
      <selection activeCell="A4" sqref="A4"/>
    </sheetView>
  </sheetViews>
  <sheetFormatPr defaultRowHeight="14.4" x14ac:dyDescent="0.3"/>
  <cols>
    <col min="1" max="1" width="8.5546875" customWidth="1"/>
    <col min="3" max="3" width="21.33203125" customWidth="1"/>
    <col min="4" max="4" width="23.21875" customWidth="1"/>
    <col min="5" max="5" width="22.33203125" customWidth="1"/>
    <col min="6" max="6" width="23.109375" customWidth="1"/>
    <col min="7" max="7" width="13.88671875" customWidth="1"/>
    <col min="8" max="8" width="11.21875" customWidth="1"/>
    <col min="9" max="9" width="8.21875" customWidth="1"/>
    <col min="10" max="10" width="8.109375" customWidth="1"/>
    <col min="11" max="11" width="9.88671875" customWidth="1"/>
    <col min="12" max="12" width="13.77734375" customWidth="1"/>
    <col min="13" max="13" width="7.44140625" customWidth="1"/>
    <col min="14" max="14" width="46.33203125" customWidth="1"/>
    <col min="15" max="15" width="30.33203125" customWidth="1"/>
    <col min="16" max="16" width="28.44140625" customWidth="1"/>
    <col min="17" max="17" width="28.33203125" customWidth="1"/>
    <col min="18" max="18" width="24.88671875" customWidth="1"/>
    <col min="19" max="19" width="23.109375" customWidth="1"/>
    <col min="20" max="20" width="22.5546875" customWidth="1"/>
    <col min="21" max="21" width="25.6640625" style="4" customWidth="1"/>
    <col min="22" max="22" width="41.77734375" style="4" customWidth="1"/>
    <col min="23" max="23" width="41.6640625" style="4" customWidth="1"/>
    <col min="24" max="24" width="36.6640625" style="4" customWidth="1"/>
  </cols>
  <sheetData>
    <row r="1" spans="1:24" ht="19.2" customHeight="1" x14ac:dyDescent="0.35">
      <c r="A1" s="3" t="s">
        <v>27</v>
      </c>
    </row>
    <row r="2" spans="1:24" ht="16.8" customHeight="1" x14ac:dyDescent="0.3">
      <c r="B2" s="11" t="s">
        <v>20</v>
      </c>
      <c r="C2" s="11"/>
      <c r="D2" s="11"/>
      <c r="E2" s="11"/>
      <c r="F2" s="11"/>
      <c r="G2" s="11" t="s">
        <v>21</v>
      </c>
      <c r="H2" s="11"/>
      <c r="I2" s="11" t="s">
        <v>22</v>
      </c>
      <c r="J2" s="11"/>
      <c r="K2" s="11"/>
    </row>
    <row r="3" spans="1:24" s="4" customFormat="1" ht="16.8" x14ac:dyDescent="0.35">
      <c r="A3" s="4" t="s">
        <v>0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28</v>
      </c>
      <c r="H3" s="4" t="s">
        <v>1</v>
      </c>
      <c r="I3" s="4" t="s">
        <v>29</v>
      </c>
      <c r="J3" s="4" t="s">
        <v>2</v>
      </c>
      <c r="K3" s="4" t="s">
        <v>13</v>
      </c>
      <c r="L3" s="4" t="s">
        <v>14</v>
      </c>
      <c r="M3" s="4" t="s">
        <v>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32</v>
      </c>
      <c r="S3" s="9" t="s">
        <v>31</v>
      </c>
      <c r="T3" s="4" t="s">
        <v>30</v>
      </c>
      <c r="U3" s="6" t="s">
        <v>35</v>
      </c>
      <c r="V3" s="9" t="s">
        <v>33</v>
      </c>
      <c r="W3" s="9" t="s">
        <v>34</v>
      </c>
      <c r="X3" s="6" t="s">
        <v>19</v>
      </c>
    </row>
    <row r="4" spans="1:24" x14ac:dyDescent="0.3">
      <c r="A4" s="4">
        <v>1</v>
      </c>
      <c r="B4" s="1">
        <v>16</v>
      </c>
      <c r="C4" s="2" t="s">
        <v>5</v>
      </c>
      <c r="D4" s="2" t="s">
        <v>5</v>
      </c>
      <c r="E4" s="1">
        <v>71</v>
      </c>
      <c r="F4" s="2" t="s">
        <v>5</v>
      </c>
      <c r="G4" s="1">
        <v>7</v>
      </c>
      <c r="H4" s="2" t="s">
        <v>5</v>
      </c>
      <c r="I4" s="1">
        <v>2</v>
      </c>
      <c r="J4" s="2" t="s">
        <v>5</v>
      </c>
      <c r="K4" s="1">
        <v>3.8</v>
      </c>
      <c r="L4" s="1">
        <v>0.2</v>
      </c>
      <c r="M4" s="1">
        <f>SUM(B4:L4)</f>
        <v>100</v>
      </c>
      <c r="N4" s="2" t="s">
        <v>5</v>
      </c>
      <c r="O4" s="1">
        <v>0.47</v>
      </c>
      <c r="P4" s="1">
        <v>242.59999999999997</v>
      </c>
      <c r="Q4" s="1">
        <v>243.4</v>
      </c>
      <c r="R4" s="7">
        <f>(P4+Q4)/2</f>
        <v>243</v>
      </c>
      <c r="S4" s="4">
        <f>(P4/1000)/0.000125</f>
        <v>1940.7999999999995</v>
      </c>
      <c r="T4" s="4">
        <f>(Q4/1000)/0.000125</f>
        <v>1947.2</v>
      </c>
      <c r="U4" s="7">
        <f t="shared" ref="U4:U31" si="0">(S4+T4)/2</f>
        <v>1943.9999999999998</v>
      </c>
      <c r="V4" s="4">
        <v>17.399999999999999</v>
      </c>
      <c r="W4" s="4">
        <v>16.8</v>
      </c>
      <c r="X4" s="7">
        <f>(V4+W4)/2</f>
        <v>17.100000000000001</v>
      </c>
    </row>
    <row r="5" spans="1:24" x14ac:dyDescent="0.3">
      <c r="A5" s="4">
        <v>2</v>
      </c>
      <c r="B5" s="1">
        <v>18</v>
      </c>
      <c r="C5" s="2" t="s">
        <v>5</v>
      </c>
      <c r="D5" s="2" t="s">
        <v>5</v>
      </c>
      <c r="E5" s="1">
        <v>70</v>
      </c>
      <c r="F5" s="2" t="s">
        <v>5</v>
      </c>
      <c r="G5" s="1">
        <v>7.8</v>
      </c>
      <c r="H5" s="2" t="s">
        <v>5</v>
      </c>
      <c r="I5" s="2" t="s">
        <v>5</v>
      </c>
      <c r="J5" s="2" t="s">
        <v>5</v>
      </c>
      <c r="K5" s="1">
        <v>4</v>
      </c>
      <c r="L5" s="1">
        <v>0.2</v>
      </c>
      <c r="M5" s="1">
        <f t="shared" ref="M5:M31" si="1">SUM(B5:L5)</f>
        <v>100</v>
      </c>
      <c r="N5" s="2" t="s">
        <v>5</v>
      </c>
      <c r="O5" s="1">
        <v>0.48</v>
      </c>
      <c r="P5" s="1">
        <v>246.70000000000002</v>
      </c>
      <c r="Q5" s="1">
        <v>247.3</v>
      </c>
      <c r="R5" s="7">
        <f t="shared" ref="R5:R31" si="2">(P5+Q5)/2</f>
        <v>247</v>
      </c>
      <c r="S5" s="4">
        <f t="shared" ref="S5:S31" si="3">(P5/1000)/0.000125</f>
        <v>1973.6000000000001</v>
      </c>
      <c r="T5" s="4">
        <f t="shared" ref="T5:T31" si="4">(Q5/1000)/0.000125</f>
        <v>1978.4</v>
      </c>
      <c r="U5" s="7">
        <f t="shared" si="0"/>
        <v>1976</v>
      </c>
      <c r="V5" s="4">
        <v>14</v>
      </c>
      <c r="W5" s="4">
        <v>12</v>
      </c>
      <c r="X5" s="7">
        <f t="shared" ref="X5:X31" si="5">(V5+W5)/2</f>
        <v>13</v>
      </c>
    </row>
    <row r="6" spans="1:24" x14ac:dyDescent="0.3">
      <c r="A6" s="4">
        <v>3</v>
      </c>
      <c r="B6" s="1">
        <v>18</v>
      </c>
      <c r="C6" s="2" t="s">
        <v>5</v>
      </c>
      <c r="D6" s="2" t="s">
        <v>5</v>
      </c>
      <c r="E6" s="1">
        <v>70</v>
      </c>
      <c r="F6" s="2" t="s">
        <v>5</v>
      </c>
      <c r="G6" s="2" t="s">
        <v>5</v>
      </c>
      <c r="H6" s="1">
        <v>7.8</v>
      </c>
      <c r="I6" s="2" t="s">
        <v>5</v>
      </c>
      <c r="J6" s="2" t="s">
        <v>5</v>
      </c>
      <c r="K6" s="1">
        <v>4</v>
      </c>
      <c r="L6" s="1">
        <v>0.2</v>
      </c>
      <c r="M6" s="1">
        <f t="shared" si="1"/>
        <v>100</v>
      </c>
      <c r="N6" s="2" t="s">
        <v>5</v>
      </c>
      <c r="O6" s="1">
        <v>0.45</v>
      </c>
      <c r="P6" s="1">
        <v>222.5</v>
      </c>
      <c r="Q6" s="1">
        <v>223.5</v>
      </c>
      <c r="R6" s="7">
        <f t="shared" si="2"/>
        <v>223</v>
      </c>
      <c r="S6" s="4">
        <f t="shared" si="3"/>
        <v>1780</v>
      </c>
      <c r="T6" s="4">
        <f t="shared" si="4"/>
        <v>1788</v>
      </c>
      <c r="U6" s="7">
        <f t="shared" si="0"/>
        <v>1784</v>
      </c>
      <c r="V6" s="4">
        <v>8.5</v>
      </c>
      <c r="W6" s="4">
        <v>7.5</v>
      </c>
      <c r="X6" s="7">
        <f t="shared" si="5"/>
        <v>8</v>
      </c>
    </row>
    <row r="7" spans="1:24" x14ac:dyDescent="0.3">
      <c r="A7" s="4">
        <v>4</v>
      </c>
      <c r="B7" s="1">
        <v>20.8</v>
      </c>
      <c r="C7" s="2" t="s">
        <v>5</v>
      </c>
      <c r="D7" s="2" t="s">
        <v>5</v>
      </c>
      <c r="E7" s="1">
        <v>70</v>
      </c>
      <c r="F7" s="2" t="s">
        <v>5</v>
      </c>
      <c r="G7" s="2" t="s">
        <v>5</v>
      </c>
      <c r="H7" s="1">
        <v>5</v>
      </c>
      <c r="I7" s="2" t="s">
        <v>5</v>
      </c>
      <c r="J7" s="2" t="s">
        <v>5</v>
      </c>
      <c r="K7" s="1">
        <v>4</v>
      </c>
      <c r="L7" s="1">
        <v>0.2</v>
      </c>
      <c r="M7" s="1">
        <f t="shared" si="1"/>
        <v>100</v>
      </c>
      <c r="N7" s="2" t="s">
        <v>5</v>
      </c>
      <c r="O7" s="1">
        <v>0.6</v>
      </c>
      <c r="P7" s="1">
        <v>251.6</v>
      </c>
      <c r="Q7" s="1">
        <v>252.4</v>
      </c>
      <c r="R7" s="7">
        <f t="shared" si="2"/>
        <v>252</v>
      </c>
      <c r="S7" s="4">
        <f t="shared" si="3"/>
        <v>2012.8</v>
      </c>
      <c r="T7" s="4">
        <f t="shared" si="4"/>
        <v>2019.2</v>
      </c>
      <c r="U7" s="7">
        <f t="shared" si="0"/>
        <v>2016</v>
      </c>
      <c r="V7" s="4">
        <v>15</v>
      </c>
      <c r="W7" s="4">
        <v>15</v>
      </c>
      <c r="X7" s="7">
        <f t="shared" si="5"/>
        <v>15</v>
      </c>
    </row>
    <row r="8" spans="1:24" x14ac:dyDescent="0.3">
      <c r="A8" s="4">
        <v>5</v>
      </c>
      <c r="B8" s="1">
        <v>20</v>
      </c>
      <c r="C8" s="2" t="s">
        <v>5</v>
      </c>
      <c r="D8" s="2" t="s">
        <v>5</v>
      </c>
      <c r="E8" s="1">
        <v>70</v>
      </c>
      <c r="F8" s="2" t="s">
        <v>5</v>
      </c>
      <c r="G8" s="2" t="s">
        <v>5</v>
      </c>
      <c r="H8" s="1">
        <v>5.8</v>
      </c>
      <c r="I8" s="2" t="s">
        <v>5</v>
      </c>
      <c r="J8" s="2" t="s">
        <v>5</v>
      </c>
      <c r="K8" s="1">
        <v>4</v>
      </c>
      <c r="L8" s="1">
        <v>0.2</v>
      </c>
      <c r="M8" s="1">
        <f t="shared" si="1"/>
        <v>100</v>
      </c>
      <c r="N8" s="2" t="s">
        <v>5</v>
      </c>
      <c r="O8" s="1">
        <v>0.6</v>
      </c>
      <c r="P8" s="1">
        <v>253.60000000000002</v>
      </c>
      <c r="Q8" s="1">
        <v>254.4</v>
      </c>
      <c r="R8" s="7">
        <f t="shared" si="2"/>
        <v>254</v>
      </c>
      <c r="S8" s="4">
        <f t="shared" si="3"/>
        <v>2028.8000000000004</v>
      </c>
      <c r="T8" s="4">
        <f t="shared" si="4"/>
        <v>2035.2</v>
      </c>
      <c r="U8" s="7">
        <f t="shared" si="0"/>
        <v>2032.0000000000002</v>
      </c>
      <c r="V8" s="4">
        <v>14.8</v>
      </c>
      <c r="W8" s="4">
        <v>15.2</v>
      </c>
      <c r="X8" s="7">
        <f t="shared" si="5"/>
        <v>15</v>
      </c>
    </row>
    <row r="9" spans="1:24" x14ac:dyDescent="0.3">
      <c r="A9" s="4">
        <v>6</v>
      </c>
      <c r="B9" s="1">
        <v>21.6</v>
      </c>
      <c r="C9" s="2" t="s">
        <v>5</v>
      </c>
      <c r="D9" s="2" t="s">
        <v>5</v>
      </c>
      <c r="E9" s="1">
        <v>70</v>
      </c>
      <c r="F9" s="2" t="s">
        <v>5</v>
      </c>
      <c r="G9" s="2" t="s">
        <v>5</v>
      </c>
      <c r="H9" s="1">
        <v>4.3</v>
      </c>
      <c r="I9" s="2" t="s">
        <v>5</v>
      </c>
      <c r="J9" s="2" t="s">
        <v>5</v>
      </c>
      <c r="K9" s="1">
        <v>3.9</v>
      </c>
      <c r="L9" s="1">
        <v>0.2</v>
      </c>
      <c r="M9" s="1">
        <f t="shared" si="1"/>
        <v>100</v>
      </c>
      <c r="N9" s="2" t="s">
        <v>5</v>
      </c>
      <c r="O9" s="1">
        <v>0.6</v>
      </c>
      <c r="P9" s="1">
        <v>260.40000000000009</v>
      </c>
      <c r="Q9" s="1">
        <v>259.60000000000002</v>
      </c>
      <c r="R9" s="7">
        <f t="shared" si="2"/>
        <v>260.00000000000006</v>
      </c>
      <c r="S9" s="4">
        <f t="shared" si="3"/>
        <v>2083.2000000000007</v>
      </c>
      <c r="T9" s="4">
        <f t="shared" si="4"/>
        <v>2076.7999999999997</v>
      </c>
      <c r="U9" s="7">
        <f t="shared" si="0"/>
        <v>2080</v>
      </c>
      <c r="V9" s="4">
        <v>15</v>
      </c>
      <c r="W9" s="4">
        <v>13</v>
      </c>
      <c r="X9" s="7">
        <f t="shared" si="5"/>
        <v>14</v>
      </c>
    </row>
    <row r="10" spans="1:24" x14ac:dyDescent="0.3">
      <c r="A10" s="4">
        <v>7</v>
      </c>
      <c r="B10" s="1">
        <v>17.2</v>
      </c>
      <c r="C10" s="2" t="s">
        <v>5</v>
      </c>
      <c r="D10" s="2" t="s">
        <v>5</v>
      </c>
      <c r="E10" s="1">
        <v>68</v>
      </c>
      <c r="F10" s="2" t="s">
        <v>5</v>
      </c>
      <c r="G10" s="1">
        <v>7.5</v>
      </c>
      <c r="H10" s="2" t="s">
        <v>5</v>
      </c>
      <c r="I10" s="1">
        <v>3</v>
      </c>
      <c r="J10" s="1">
        <v>0.5</v>
      </c>
      <c r="K10" s="1">
        <v>3.6</v>
      </c>
      <c r="L10" s="1">
        <v>0.2</v>
      </c>
      <c r="M10" s="1">
        <f t="shared" si="1"/>
        <v>100</v>
      </c>
      <c r="N10" s="1" t="s">
        <v>4</v>
      </c>
      <c r="O10" s="1">
        <v>0.5</v>
      </c>
      <c r="P10" s="1">
        <v>264.3</v>
      </c>
      <c r="Q10" s="1">
        <v>263.7</v>
      </c>
      <c r="R10" s="7">
        <f t="shared" si="2"/>
        <v>264</v>
      </c>
      <c r="S10" s="4">
        <f t="shared" si="3"/>
        <v>2114.4</v>
      </c>
      <c r="T10" s="4">
        <f t="shared" si="4"/>
        <v>2109.6</v>
      </c>
      <c r="U10" s="7">
        <f t="shared" si="0"/>
        <v>2112</v>
      </c>
      <c r="V10" s="4">
        <v>12.8</v>
      </c>
      <c r="W10" s="4">
        <v>11.4</v>
      </c>
      <c r="X10" s="7">
        <f t="shared" si="5"/>
        <v>12.100000000000001</v>
      </c>
    </row>
    <row r="11" spans="1:24" x14ac:dyDescent="0.3">
      <c r="A11" s="4">
        <v>8</v>
      </c>
      <c r="B11" s="1">
        <v>17</v>
      </c>
      <c r="C11" s="2" t="s">
        <v>5</v>
      </c>
      <c r="D11" s="2" t="s">
        <v>5</v>
      </c>
      <c r="E11" s="1">
        <v>68</v>
      </c>
      <c r="F11" s="2" t="s">
        <v>5</v>
      </c>
      <c r="G11" s="1">
        <v>7.5</v>
      </c>
      <c r="H11" s="2" t="s">
        <v>5</v>
      </c>
      <c r="I11" s="1">
        <v>3</v>
      </c>
      <c r="J11" s="1">
        <v>0.5</v>
      </c>
      <c r="K11" s="1">
        <v>3.8</v>
      </c>
      <c r="L11" s="1">
        <v>0.2</v>
      </c>
      <c r="M11" s="1">
        <f t="shared" si="1"/>
        <v>100</v>
      </c>
      <c r="N11" s="2" t="s">
        <v>5</v>
      </c>
      <c r="O11" s="1">
        <v>0.7</v>
      </c>
      <c r="P11" s="1">
        <v>229</v>
      </c>
      <c r="Q11" s="1">
        <v>229</v>
      </c>
      <c r="R11" s="7">
        <f t="shared" si="2"/>
        <v>229</v>
      </c>
      <c r="S11" s="4">
        <f t="shared" si="3"/>
        <v>1832</v>
      </c>
      <c r="T11" s="4">
        <f t="shared" si="4"/>
        <v>1832</v>
      </c>
      <c r="U11" s="7">
        <f t="shared" si="0"/>
        <v>1832</v>
      </c>
      <c r="V11" s="4">
        <v>18.899999999999999</v>
      </c>
      <c r="W11" s="4">
        <v>19.100000000000001</v>
      </c>
      <c r="X11" s="7">
        <f t="shared" si="5"/>
        <v>19</v>
      </c>
    </row>
    <row r="12" spans="1:24" x14ac:dyDescent="0.3">
      <c r="A12" s="4">
        <v>9</v>
      </c>
      <c r="B12" s="1">
        <v>17</v>
      </c>
      <c r="C12" s="2" t="s">
        <v>5</v>
      </c>
      <c r="D12" s="2" t="s">
        <v>5</v>
      </c>
      <c r="E12" s="1">
        <v>68</v>
      </c>
      <c r="F12" s="2" t="s">
        <v>5</v>
      </c>
      <c r="G12" s="1">
        <v>7.5</v>
      </c>
      <c r="H12" s="2" t="s">
        <v>5</v>
      </c>
      <c r="I12" s="1">
        <v>3</v>
      </c>
      <c r="J12" s="1">
        <v>0.5</v>
      </c>
      <c r="K12" s="1">
        <v>3.8</v>
      </c>
      <c r="L12" s="1">
        <v>0.2</v>
      </c>
      <c r="M12" s="1">
        <f t="shared" si="1"/>
        <v>100</v>
      </c>
      <c r="N12" s="1" t="s">
        <v>4</v>
      </c>
      <c r="O12" s="1">
        <v>0.65</v>
      </c>
      <c r="P12" s="1">
        <v>236.1</v>
      </c>
      <c r="Q12" s="1">
        <v>235.9</v>
      </c>
      <c r="R12" s="7">
        <f t="shared" si="2"/>
        <v>236</v>
      </c>
      <c r="S12" s="4">
        <f t="shared" si="3"/>
        <v>1888.8</v>
      </c>
      <c r="T12" s="4">
        <f t="shared" si="4"/>
        <v>1887.2</v>
      </c>
      <c r="U12" s="7">
        <f t="shared" si="0"/>
        <v>1888</v>
      </c>
      <c r="V12" s="4">
        <v>18.3</v>
      </c>
      <c r="W12" s="4">
        <v>17.8</v>
      </c>
      <c r="X12" s="7">
        <f t="shared" si="5"/>
        <v>18.05</v>
      </c>
    </row>
    <row r="13" spans="1:24" x14ac:dyDescent="0.3">
      <c r="A13" s="4">
        <v>10</v>
      </c>
      <c r="B13" s="1">
        <v>16.899999999999999</v>
      </c>
      <c r="C13" s="2" t="s">
        <v>5</v>
      </c>
      <c r="D13" s="1">
        <v>2.4</v>
      </c>
      <c r="E13" s="1">
        <v>67</v>
      </c>
      <c r="F13" s="2" t="s">
        <v>5</v>
      </c>
      <c r="G13" s="1">
        <v>7</v>
      </c>
      <c r="H13" s="2" t="s">
        <v>5</v>
      </c>
      <c r="I13" s="1">
        <v>6.5</v>
      </c>
      <c r="J13" s="2" t="s">
        <v>5</v>
      </c>
      <c r="K13" s="2" t="s">
        <v>5</v>
      </c>
      <c r="L13" s="1">
        <v>0.2</v>
      </c>
      <c r="M13" s="1">
        <f t="shared" si="1"/>
        <v>100</v>
      </c>
      <c r="N13" s="1" t="s">
        <v>4</v>
      </c>
      <c r="O13" s="1">
        <v>0.52</v>
      </c>
      <c r="P13" s="1">
        <v>244</v>
      </c>
      <c r="Q13" s="1">
        <v>244</v>
      </c>
      <c r="R13" s="7">
        <f t="shared" si="2"/>
        <v>244</v>
      </c>
      <c r="S13" s="4">
        <f t="shared" si="3"/>
        <v>1952</v>
      </c>
      <c r="T13" s="4">
        <f t="shared" si="4"/>
        <v>1952</v>
      </c>
      <c r="U13" s="7">
        <f t="shared" si="0"/>
        <v>1952</v>
      </c>
      <c r="V13" s="4">
        <v>22.2</v>
      </c>
      <c r="W13" s="4">
        <v>21.9</v>
      </c>
      <c r="X13" s="7">
        <f t="shared" si="5"/>
        <v>22.049999999999997</v>
      </c>
    </row>
    <row r="14" spans="1:24" x14ac:dyDescent="0.3">
      <c r="A14" s="4">
        <v>11</v>
      </c>
      <c r="B14" s="1">
        <v>17</v>
      </c>
      <c r="C14" s="2" t="s">
        <v>5</v>
      </c>
      <c r="D14" s="2" t="s">
        <v>5</v>
      </c>
      <c r="E14" s="1">
        <v>66.5</v>
      </c>
      <c r="F14" s="2" t="s">
        <v>5</v>
      </c>
      <c r="G14" s="1">
        <v>7.3</v>
      </c>
      <c r="H14" s="2" t="s">
        <v>5</v>
      </c>
      <c r="I14" s="1">
        <v>6</v>
      </c>
      <c r="J14" s="2" t="s">
        <v>5</v>
      </c>
      <c r="K14" s="1">
        <v>3</v>
      </c>
      <c r="L14" s="1">
        <v>0.2</v>
      </c>
      <c r="M14" s="1">
        <f t="shared" si="1"/>
        <v>100</v>
      </c>
      <c r="N14" s="1" t="s">
        <v>4</v>
      </c>
      <c r="O14" s="1">
        <v>0.53</v>
      </c>
      <c r="P14" s="1">
        <v>242.4</v>
      </c>
      <c r="Q14" s="1">
        <v>241.6</v>
      </c>
      <c r="R14" s="7">
        <f t="shared" si="2"/>
        <v>242</v>
      </c>
      <c r="S14" s="4">
        <f t="shared" si="3"/>
        <v>1939.2</v>
      </c>
      <c r="T14" s="4">
        <f t="shared" si="4"/>
        <v>1932.7999999999997</v>
      </c>
      <c r="U14" s="7">
        <f t="shared" si="0"/>
        <v>1936</v>
      </c>
      <c r="V14" s="4">
        <v>17.2</v>
      </c>
      <c r="W14" s="4">
        <v>16.7</v>
      </c>
      <c r="X14" s="7">
        <f t="shared" si="5"/>
        <v>16.95</v>
      </c>
    </row>
    <row r="15" spans="1:24" x14ac:dyDescent="0.3">
      <c r="A15" s="4">
        <v>12</v>
      </c>
      <c r="B15" s="1">
        <v>21</v>
      </c>
      <c r="C15" s="2" t="s">
        <v>5</v>
      </c>
      <c r="D15" s="1">
        <v>4.5</v>
      </c>
      <c r="E15" s="1">
        <v>65</v>
      </c>
      <c r="F15" s="2" t="s">
        <v>5</v>
      </c>
      <c r="G15" s="1">
        <v>9.1999999999999993</v>
      </c>
      <c r="H15" s="2" t="s">
        <v>5</v>
      </c>
      <c r="I15" s="2" t="s">
        <v>5</v>
      </c>
      <c r="J15" s="2" t="s">
        <v>5</v>
      </c>
      <c r="K15" s="2" t="s">
        <v>5</v>
      </c>
      <c r="L15" s="1">
        <v>0.3</v>
      </c>
      <c r="M15" s="1">
        <f t="shared" si="1"/>
        <v>100</v>
      </c>
      <c r="N15" s="1" t="s">
        <v>4</v>
      </c>
      <c r="O15" s="1">
        <v>0.5</v>
      </c>
      <c r="P15" s="1">
        <v>258</v>
      </c>
      <c r="Q15" s="1">
        <v>256</v>
      </c>
      <c r="R15" s="7">
        <f t="shared" si="2"/>
        <v>257</v>
      </c>
      <c r="S15" s="4">
        <f t="shared" si="3"/>
        <v>2064</v>
      </c>
      <c r="T15" s="4">
        <f t="shared" si="4"/>
        <v>2048</v>
      </c>
      <c r="U15" s="7">
        <f t="shared" si="0"/>
        <v>2056</v>
      </c>
      <c r="V15" s="4">
        <v>15.4</v>
      </c>
      <c r="W15" s="4">
        <v>14.8</v>
      </c>
      <c r="X15" s="7">
        <f t="shared" si="5"/>
        <v>15.100000000000001</v>
      </c>
    </row>
    <row r="16" spans="1:24" x14ac:dyDescent="0.3">
      <c r="A16" s="4">
        <v>13</v>
      </c>
      <c r="B16" s="1">
        <v>21</v>
      </c>
      <c r="C16" s="2" t="s">
        <v>5</v>
      </c>
      <c r="D16" s="1">
        <v>4.5</v>
      </c>
      <c r="E16" s="1">
        <v>65</v>
      </c>
      <c r="F16" s="2" t="s">
        <v>5</v>
      </c>
      <c r="G16" s="1">
        <v>9.1999999999999993</v>
      </c>
      <c r="H16" s="2" t="s">
        <v>5</v>
      </c>
      <c r="I16" s="2" t="s">
        <v>5</v>
      </c>
      <c r="J16" s="2" t="s">
        <v>5</v>
      </c>
      <c r="K16" s="2" t="s">
        <v>5</v>
      </c>
      <c r="L16" s="1">
        <v>0.3</v>
      </c>
      <c r="M16" s="1">
        <f t="shared" si="1"/>
        <v>100</v>
      </c>
      <c r="N16" s="2" t="s">
        <v>5</v>
      </c>
      <c r="O16" s="1">
        <v>0.47</v>
      </c>
      <c r="P16" s="1">
        <v>258</v>
      </c>
      <c r="Q16" s="1">
        <v>258</v>
      </c>
      <c r="R16" s="7">
        <f t="shared" si="2"/>
        <v>258</v>
      </c>
      <c r="S16" s="4">
        <f t="shared" si="3"/>
        <v>2064</v>
      </c>
      <c r="T16" s="4">
        <f t="shared" si="4"/>
        <v>2064</v>
      </c>
      <c r="U16" s="7">
        <f t="shared" si="0"/>
        <v>2064</v>
      </c>
      <c r="V16" s="4">
        <v>20.5</v>
      </c>
      <c r="W16" s="4">
        <v>19.7</v>
      </c>
      <c r="X16" s="7">
        <f t="shared" si="5"/>
        <v>20.100000000000001</v>
      </c>
    </row>
    <row r="17" spans="1:24" x14ac:dyDescent="0.3">
      <c r="A17" s="4">
        <v>14</v>
      </c>
      <c r="B17" s="1">
        <v>21</v>
      </c>
      <c r="C17" s="2" t="s">
        <v>5</v>
      </c>
      <c r="D17" s="1">
        <v>4.5</v>
      </c>
      <c r="E17" s="1">
        <v>65</v>
      </c>
      <c r="F17" s="2" t="s">
        <v>5</v>
      </c>
      <c r="G17" s="1">
        <v>9.1999999999999993</v>
      </c>
      <c r="H17" s="2" t="s">
        <v>5</v>
      </c>
      <c r="I17" s="2" t="s">
        <v>5</v>
      </c>
      <c r="J17" s="2" t="s">
        <v>5</v>
      </c>
      <c r="K17" s="2" t="s">
        <v>5</v>
      </c>
      <c r="L17" s="1">
        <v>0.3</v>
      </c>
      <c r="M17" s="1">
        <f t="shared" si="1"/>
        <v>100</v>
      </c>
      <c r="N17" s="1" t="s">
        <v>23</v>
      </c>
      <c r="O17" s="1">
        <v>0.47</v>
      </c>
      <c r="P17" s="1">
        <v>258.2</v>
      </c>
      <c r="Q17" s="1">
        <v>257.89999999999998</v>
      </c>
      <c r="R17" s="7">
        <f t="shared" si="2"/>
        <v>258.04999999999995</v>
      </c>
      <c r="S17" s="4">
        <f t="shared" si="3"/>
        <v>2065.6</v>
      </c>
      <c r="T17" s="4">
        <f t="shared" si="4"/>
        <v>2063.1999999999998</v>
      </c>
      <c r="U17" s="7">
        <f t="shared" si="0"/>
        <v>2064.3999999999996</v>
      </c>
      <c r="V17" s="4">
        <v>17.899999999999999</v>
      </c>
      <c r="W17" s="4">
        <v>17.100000000000001</v>
      </c>
      <c r="X17" s="10">
        <f t="shared" si="5"/>
        <v>17.5</v>
      </c>
    </row>
    <row r="18" spans="1:24" x14ac:dyDescent="0.3">
      <c r="A18" s="4">
        <f>A17+1</f>
        <v>15</v>
      </c>
      <c r="B18" s="2">
        <v>21</v>
      </c>
      <c r="C18" s="1" t="s">
        <v>5</v>
      </c>
      <c r="D18" s="1" t="s">
        <v>5</v>
      </c>
      <c r="E18" s="2">
        <v>60</v>
      </c>
      <c r="F18" s="2">
        <v>9.5</v>
      </c>
      <c r="G18" s="1" t="s">
        <v>5</v>
      </c>
      <c r="H18" s="2">
        <v>9.1999999999999993</v>
      </c>
      <c r="I18" s="1" t="s">
        <v>5</v>
      </c>
      <c r="J18" s="1" t="s">
        <v>5</v>
      </c>
      <c r="K18" s="1" t="s">
        <v>5</v>
      </c>
      <c r="L18" s="2">
        <v>0.3</v>
      </c>
      <c r="M18" s="1">
        <f t="shared" si="1"/>
        <v>100</v>
      </c>
      <c r="N18" s="1" t="s">
        <v>6</v>
      </c>
      <c r="O18" s="2">
        <v>0.47</v>
      </c>
      <c r="P18" s="1">
        <v>240</v>
      </c>
      <c r="Q18" s="1">
        <v>240</v>
      </c>
      <c r="R18" s="7">
        <f t="shared" si="2"/>
        <v>240</v>
      </c>
      <c r="S18" s="4">
        <f t="shared" si="3"/>
        <v>1920</v>
      </c>
      <c r="T18" s="4">
        <f t="shared" si="4"/>
        <v>1920</v>
      </c>
      <c r="U18" s="7">
        <f t="shared" si="0"/>
        <v>1920</v>
      </c>
      <c r="V18" s="4">
        <v>16.8</v>
      </c>
      <c r="W18" s="4">
        <v>16.2</v>
      </c>
      <c r="X18" s="10">
        <f t="shared" si="5"/>
        <v>16.5</v>
      </c>
    </row>
    <row r="19" spans="1:24" x14ac:dyDescent="0.3">
      <c r="A19" s="4">
        <f t="shared" ref="A19" si="6">A18+1</f>
        <v>16</v>
      </c>
      <c r="B19" s="2">
        <v>28</v>
      </c>
      <c r="C19" s="2">
        <v>5</v>
      </c>
      <c r="D19" s="1" t="s">
        <v>5</v>
      </c>
      <c r="E19" s="2">
        <v>50</v>
      </c>
      <c r="F19" s="1" t="s">
        <v>5</v>
      </c>
      <c r="G19" s="2">
        <v>14</v>
      </c>
      <c r="H19" s="1" t="s">
        <v>5</v>
      </c>
      <c r="I19" s="1" t="s">
        <v>5</v>
      </c>
      <c r="J19" s="2">
        <v>0.6</v>
      </c>
      <c r="K19" s="2">
        <v>2</v>
      </c>
      <c r="L19" s="2">
        <v>0.4</v>
      </c>
      <c r="M19" s="1">
        <f t="shared" si="1"/>
        <v>100</v>
      </c>
      <c r="N19" s="1" t="s">
        <v>7</v>
      </c>
      <c r="O19" s="2">
        <v>0.43</v>
      </c>
      <c r="P19" s="2">
        <v>238.5</v>
      </c>
      <c r="Q19" s="1">
        <v>238.3</v>
      </c>
      <c r="R19" s="7">
        <f t="shared" si="2"/>
        <v>238.4</v>
      </c>
      <c r="S19" s="4">
        <f t="shared" si="3"/>
        <v>1907.9999999999998</v>
      </c>
      <c r="T19" s="4">
        <f t="shared" si="4"/>
        <v>1906.4</v>
      </c>
      <c r="U19" s="7">
        <f t="shared" si="0"/>
        <v>1907.1999999999998</v>
      </c>
      <c r="V19" s="4">
        <v>21.5</v>
      </c>
      <c r="W19" s="4">
        <v>20.6</v>
      </c>
      <c r="X19" s="7">
        <f t="shared" si="5"/>
        <v>21.05</v>
      </c>
    </row>
    <row r="20" spans="1:24" x14ac:dyDescent="0.3">
      <c r="A20" s="4">
        <v>17</v>
      </c>
      <c r="B20" s="1">
        <v>24.5</v>
      </c>
      <c r="C20" s="2" t="s">
        <v>5</v>
      </c>
      <c r="D20" s="2" t="s">
        <v>5</v>
      </c>
      <c r="E20" s="1">
        <v>45</v>
      </c>
      <c r="F20" s="2" t="s">
        <v>5</v>
      </c>
      <c r="G20" s="1">
        <v>12.3</v>
      </c>
      <c r="H20" s="2" t="s">
        <v>5</v>
      </c>
      <c r="I20" s="1">
        <v>12</v>
      </c>
      <c r="J20" s="1">
        <v>1.5</v>
      </c>
      <c r="K20" s="1">
        <v>4.4000000000000004</v>
      </c>
      <c r="L20" s="1">
        <v>0.3</v>
      </c>
      <c r="M20" s="1">
        <f t="shared" si="1"/>
        <v>100</v>
      </c>
      <c r="N20" s="1" t="s">
        <v>4</v>
      </c>
      <c r="O20" s="1">
        <v>0.54</v>
      </c>
      <c r="P20" s="1">
        <v>210.3</v>
      </c>
      <c r="Q20" s="1">
        <v>209.7</v>
      </c>
      <c r="R20" s="7">
        <f t="shared" si="2"/>
        <v>210</v>
      </c>
      <c r="S20" s="4">
        <f t="shared" si="3"/>
        <v>1682.4</v>
      </c>
      <c r="T20" s="4">
        <f t="shared" si="4"/>
        <v>1677.6</v>
      </c>
      <c r="U20" s="7">
        <f t="shared" si="0"/>
        <v>1680</v>
      </c>
      <c r="V20" s="4">
        <v>15.5</v>
      </c>
      <c r="W20" s="4">
        <v>14.8</v>
      </c>
      <c r="X20" s="7">
        <f t="shared" si="5"/>
        <v>15.15</v>
      </c>
    </row>
    <row r="21" spans="1:24" x14ac:dyDescent="0.3">
      <c r="A21" s="4">
        <v>18</v>
      </c>
      <c r="B21" s="1">
        <v>28</v>
      </c>
      <c r="C21" s="2" t="s">
        <v>5</v>
      </c>
      <c r="D21" s="2" t="s">
        <v>5</v>
      </c>
      <c r="E21" s="1">
        <v>45</v>
      </c>
      <c r="F21" s="2" t="s">
        <v>5</v>
      </c>
      <c r="G21" s="1">
        <v>14</v>
      </c>
      <c r="H21" s="2" t="s">
        <v>5</v>
      </c>
      <c r="I21" s="1">
        <v>2.6</v>
      </c>
      <c r="J21" s="1">
        <v>2.5</v>
      </c>
      <c r="K21" s="1">
        <v>7.5</v>
      </c>
      <c r="L21" s="1">
        <v>0.4</v>
      </c>
      <c r="M21" s="1">
        <f t="shared" si="1"/>
        <v>100</v>
      </c>
      <c r="N21" s="1" t="s">
        <v>4</v>
      </c>
      <c r="O21" s="1">
        <v>0.56000000000000005</v>
      </c>
      <c r="P21" s="1">
        <v>227</v>
      </c>
      <c r="Q21" s="1">
        <v>227</v>
      </c>
      <c r="R21" s="7">
        <f t="shared" si="2"/>
        <v>227</v>
      </c>
      <c r="S21" s="4">
        <f t="shared" si="3"/>
        <v>1816</v>
      </c>
      <c r="T21" s="4">
        <f t="shared" si="4"/>
        <v>1816</v>
      </c>
      <c r="U21" s="7">
        <f t="shared" si="0"/>
        <v>1816</v>
      </c>
      <c r="V21" s="4">
        <v>21</v>
      </c>
      <c r="W21" s="4">
        <v>21</v>
      </c>
      <c r="X21" s="7">
        <f t="shared" si="5"/>
        <v>21</v>
      </c>
    </row>
    <row r="22" spans="1:24" x14ac:dyDescent="0.3">
      <c r="A22" s="4">
        <v>19</v>
      </c>
      <c r="B22" s="1">
        <v>28.9</v>
      </c>
      <c r="C22" s="2" t="s">
        <v>5</v>
      </c>
      <c r="D22" s="2" t="s">
        <v>5</v>
      </c>
      <c r="E22" s="1">
        <v>45</v>
      </c>
      <c r="F22" s="1">
        <v>20</v>
      </c>
      <c r="G22" s="2" t="s">
        <v>5</v>
      </c>
      <c r="H22" s="1">
        <v>5.8</v>
      </c>
      <c r="I22" s="2" t="s">
        <v>5</v>
      </c>
      <c r="J22" s="2" t="s">
        <v>5</v>
      </c>
      <c r="K22" s="2" t="s">
        <v>5</v>
      </c>
      <c r="L22" s="1">
        <v>0.3</v>
      </c>
      <c r="M22" s="1">
        <f t="shared" si="1"/>
        <v>100</v>
      </c>
      <c r="N22" s="1" t="s">
        <v>24</v>
      </c>
      <c r="O22" s="1">
        <v>0.45</v>
      </c>
      <c r="P22" s="1">
        <v>249</v>
      </c>
      <c r="Q22" s="1">
        <v>247</v>
      </c>
      <c r="R22" s="7">
        <f t="shared" si="2"/>
        <v>248</v>
      </c>
      <c r="S22" s="4">
        <f t="shared" si="3"/>
        <v>1992</v>
      </c>
      <c r="T22" s="4">
        <f t="shared" si="4"/>
        <v>1976</v>
      </c>
      <c r="U22" s="7">
        <f t="shared" si="0"/>
        <v>1984</v>
      </c>
      <c r="V22" s="4">
        <v>11.1</v>
      </c>
      <c r="W22" s="4">
        <v>10.9</v>
      </c>
      <c r="X22" s="7">
        <f t="shared" si="5"/>
        <v>11</v>
      </c>
    </row>
    <row r="23" spans="1:24" x14ac:dyDescent="0.3">
      <c r="A23" s="4">
        <v>20</v>
      </c>
      <c r="B23" s="2">
        <v>29.6</v>
      </c>
      <c r="C23" s="2">
        <v>10</v>
      </c>
      <c r="D23" s="1" t="s">
        <v>5</v>
      </c>
      <c r="E23" s="2">
        <v>45</v>
      </c>
      <c r="F23" s="1" t="s">
        <v>5</v>
      </c>
      <c r="G23" s="2">
        <v>14.9</v>
      </c>
      <c r="H23" s="1" t="s">
        <v>5</v>
      </c>
      <c r="I23" s="1" t="s">
        <v>5</v>
      </c>
      <c r="J23" s="1" t="s">
        <v>5</v>
      </c>
      <c r="K23" s="1" t="s">
        <v>5</v>
      </c>
      <c r="L23" s="2">
        <v>0.5</v>
      </c>
      <c r="M23" s="1">
        <f t="shared" si="1"/>
        <v>100</v>
      </c>
      <c r="N23" s="1" t="s">
        <v>5</v>
      </c>
      <c r="O23" s="2">
        <v>0.43</v>
      </c>
      <c r="P23" s="1">
        <v>235.7</v>
      </c>
      <c r="Q23" s="1">
        <v>235.4</v>
      </c>
      <c r="R23" s="7">
        <f t="shared" si="2"/>
        <v>235.55</v>
      </c>
      <c r="S23" s="4">
        <f t="shared" si="3"/>
        <v>1885.6</v>
      </c>
      <c r="T23" s="4">
        <f t="shared" si="4"/>
        <v>1883.2</v>
      </c>
      <c r="U23" s="7">
        <f t="shared" si="0"/>
        <v>1884.4</v>
      </c>
      <c r="V23" s="4">
        <v>13</v>
      </c>
      <c r="W23" s="4">
        <v>13</v>
      </c>
      <c r="X23" s="7">
        <f t="shared" si="5"/>
        <v>13</v>
      </c>
    </row>
    <row r="24" spans="1:24" x14ac:dyDescent="0.3">
      <c r="A24" s="4">
        <v>21</v>
      </c>
      <c r="B24" s="1">
        <v>29.5</v>
      </c>
      <c r="C24" s="2" t="s">
        <v>5</v>
      </c>
      <c r="D24" s="2" t="s">
        <v>5</v>
      </c>
      <c r="E24" s="1">
        <v>44.8</v>
      </c>
      <c r="F24" s="2" t="s">
        <v>5</v>
      </c>
      <c r="G24" s="1">
        <v>14</v>
      </c>
      <c r="H24" s="2" t="s">
        <v>5</v>
      </c>
      <c r="I24" s="1">
        <v>1.6</v>
      </c>
      <c r="J24" s="1">
        <v>2.5</v>
      </c>
      <c r="K24" s="1">
        <v>7.3</v>
      </c>
      <c r="L24" s="1">
        <v>0.3</v>
      </c>
      <c r="M24" s="1">
        <f t="shared" si="1"/>
        <v>99.999999999999986</v>
      </c>
      <c r="N24" s="1" t="s">
        <v>4</v>
      </c>
      <c r="O24" s="1">
        <v>0.54</v>
      </c>
      <c r="P24" s="1">
        <v>225</v>
      </c>
      <c r="Q24" s="1">
        <v>225</v>
      </c>
      <c r="R24" s="7">
        <f t="shared" si="2"/>
        <v>225</v>
      </c>
      <c r="S24" s="4">
        <f t="shared" si="3"/>
        <v>1800</v>
      </c>
      <c r="T24" s="4">
        <f t="shared" si="4"/>
        <v>1800</v>
      </c>
      <c r="U24" s="7">
        <f t="shared" si="0"/>
        <v>1800</v>
      </c>
      <c r="V24" s="4">
        <v>23.7</v>
      </c>
      <c r="W24" s="4">
        <v>23.3</v>
      </c>
      <c r="X24" s="10">
        <f t="shared" si="5"/>
        <v>23.5</v>
      </c>
    </row>
    <row r="25" spans="1:24" x14ac:dyDescent="0.3">
      <c r="A25" s="4">
        <v>22</v>
      </c>
      <c r="B25" s="1">
        <v>30</v>
      </c>
      <c r="C25" s="2" t="s">
        <v>5</v>
      </c>
      <c r="D25" s="2" t="s">
        <v>5</v>
      </c>
      <c r="E25" s="1">
        <v>40</v>
      </c>
      <c r="F25" s="2" t="s">
        <v>5</v>
      </c>
      <c r="G25" s="1">
        <v>15</v>
      </c>
      <c r="H25" s="2" t="s">
        <v>5</v>
      </c>
      <c r="I25" s="1">
        <v>4.5999999999999996</v>
      </c>
      <c r="J25" s="2" t="s">
        <v>5</v>
      </c>
      <c r="K25" s="1">
        <v>10</v>
      </c>
      <c r="L25" s="1">
        <v>0.4</v>
      </c>
      <c r="M25" s="1">
        <f t="shared" si="1"/>
        <v>100</v>
      </c>
      <c r="N25" s="2"/>
      <c r="O25" s="1">
        <v>0.4</v>
      </c>
      <c r="P25" s="1">
        <v>218</v>
      </c>
      <c r="Q25" s="1">
        <v>218</v>
      </c>
      <c r="R25" s="7">
        <f t="shared" si="2"/>
        <v>218</v>
      </c>
      <c r="S25" s="4">
        <f t="shared" si="3"/>
        <v>1744</v>
      </c>
      <c r="T25" s="4">
        <f t="shared" si="4"/>
        <v>1744</v>
      </c>
      <c r="U25" s="7">
        <f t="shared" si="0"/>
        <v>1744</v>
      </c>
      <c r="V25" s="4">
        <v>17.600000000000001</v>
      </c>
      <c r="W25" s="4">
        <v>16.399999999999999</v>
      </c>
      <c r="X25" s="7">
        <f t="shared" si="5"/>
        <v>17</v>
      </c>
    </row>
    <row r="26" spans="1:24" x14ac:dyDescent="0.3">
      <c r="A26" s="4">
        <v>23</v>
      </c>
      <c r="B26" s="1">
        <v>26.5</v>
      </c>
      <c r="C26" s="2" t="s">
        <v>5</v>
      </c>
      <c r="D26" s="2" t="s">
        <v>5</v>
      </c>
      <c r="E26" s="1">
        <v>40</v>
      </c>
      <c r="F26" s="2" t="s">
        <v>5</v>
      </c>
      <c r="G26" s="1">
        <v>13</v>
      </c>
      <c r="H26" s="2" t="s">
        <v>5</v>
      </c>
      <c r="I26" s="1">
        <v>4.5</v>
      </c>
      <c r="J26" s="1">
        <v>5</v>
      </c>
      <c r="K26" s="1">
        <v>10</v>
      </c>
      <c r="L26" s="1">
        <v>1</v>
      </c>
      <c r="M26" s="1">
        <f t="shared" si="1"/>
        <v>100</v>
      </c>
      <c r="N26" s="2"/>
      <c r="O26" s="1">
        <v>0.41</v>
      </c>
      <c r="P26" s="1">
        <v>203.19999999999996</v>
      </c>
      <c r="Q26" s="1">
        <v>202.8</v>
      </c>
      <c r="R26" s="7">
        <f t="shared" si="2"/>
        <v>203</v>
      </c>
      <c r="S26" s="4">
        <f t="shared" si="3"/>
        <v>1625.5999999999997</v>
      </c>
      <c r="T26" s="4">
        <f t="shared" si="4"/>
        <v>1622.4</v>
      </c>
      <c r="U26" s="7">
        <f t="shared" si="0"/>
        <v>1624</v>
      </c>
      <c r="V26" s="4">
        <v>10.7</v>
      </c>
      <c r="W26" s="4">
        <v>10.3</v>
      </c>
      <c r="X26" s="10">
        <f t="shared" si="5"/>
        <v>10.5</v>
      </c>
    </row>
    <row r="27" spans="1:24" x14ac:dyDescent="0.3">
      <c r="A27" s="4">
        <v>24</v>
      </c>
      <c r="B27" s="1">
        <v>28.4</v>
      </c>
      <c r="C27" s="2" t="s">
        <v>5</v>
      </c>
      <c r="D27" s="2" t="s">
        <v>5</v>
      </c>
      <c r="E27" s="1">
        <v>40</v>
      </c>
      <c r="F27" s="1">
        <v>25</v>
      </c>
      <c r="G27" s="2" t="s">
        <v>5</v>
      </c>
      <c r="H27" s="1">
        <v>6.3</v>
      </c>
      <c r="I27" s="2" t="s">
        <v>5</v>
      </c>
      <c r="J27" s="2" t="s">
        <v>5</v>
      </c>
      <c r="K27" s="2" t="s">
        <v>5</v>
      </c>
      <c r="L27" s="1">
        <v>0.3</v>
      </c>
      <c r="M27" s="1">
        <f t="shared" si="1"/>
        <v>100</v>
      </c>
      <c r="N27" s="1" t="s">
        <v>6</v>
      </c>
      <c r="O27" s="1">
        <v>0.44</v>
      </c>
      <c r="P27" s="1">
        <v>257.10000000000002</v>
      </c>
      <c r="Q27" s="1">
        <v>256.89999999999998</v>
      </c>
      <c r="R27" s="7">
        <f t="shared" si="2"/>
        <v>257</v>
      </c>
      <c r="S27" s="4">
        <f t="shared" si="3"/>
        <v>2056.7999999999997</v>
      </c>
      <c r="T27" s="4">
        <f t="shared" si="4"/>
        <v>2055.1999999999998</v>
      </c>
      <c r="U27" s="7">
        <f t="shared" si="0"/>
        <v>2056</v>
      </c>
      <c r="V27" s="4">
        <v>16.899999999999999</v>
      </c>
      <c r="W27" s="4">
        <v>15.1</v>
      </c>
      <c r="X27" s="7">
        <f t="shared" si="5"/>
        <v>16</v>
      </c>
    </row>
    <row r="28" spans="1:24" x14ac:dyDescent="0.3">
      <c r="A28" s="4">
        <v>25</v>
      </c>
      <c r="B28" s="1">
        <v>20</v>
      </c>
      <c r="C28" s="2" t="s">
        <v>5</v>
      </c>
      <c r="D28" s="1">
        <v>10</v>
      </c>
      <c r="E28" s="1">
        <v>35</v>
      </c>
      <c r="F28" s="2" t="s">
        <v>5</v>
      </c>
      <c r="G28" s="1">
        <v>20</v>
      </c>
      <c r="H28" s="2" t="s">
        <v>5</v>
      </c>
      <c r="I28" s="1">
        <v>7.5</v>
      </c>
      <c r="J28" s="2" t="s">
        <v>5</v>
      </c>
      <c r="K28" s="1">
        <v>7.5</v>
      </c>
      <c r="L28" s="2" t="s">
        <v>5</v>
      </c>
      <c r="M28" s="1">
        <f t="shared" si="1"/>
        <v>100</v>
      </c>
      <c r="N28" s="2" t="s">
        <v>5</v>
      </c>
      <c r="O28" s="1">
        <v>0.47</v>
      </c>
      <c r="P28" s="1">
        <v>190.9</v>
      </c>
      <c r="Q28" s="1">
        <v>191.1</v>
      </c>
      <c r="R28" s="7">
        <f t="shared" si="2"/>
        <v>191</v>
      </c>
      <c r="S28" s="4">
        <f t="shared" si="3"/>
        <v>1527.2</v>
      </c>
      <c r="T28" s="4">
        <f t="shared" si="4"/>
        <v>1528.8</v>
      </c>
      <c r="U28" s="7">
        <f t="shared" si="0"/>
        <v>1528</v>
      </c>
      <c r="V28" s="4">
        <v>10.4</v>
      </c>
      <c r="W28" s="4">
        <v>9.6</v>
      </c>
      <c r="X28" s="7">
        <f t="shared" si="5"/>
        <v>10</v>
      </c>
    </row>
    <row r="29" spans="1:24" x14ac:dyDescent="0.3">
      <c r="A29" s="4">
        <v>26</v>
      </c>
      <c r="B29" s="1">
        <v>28.4</v>
      </c>
      <c r="C29" s="1" t="s">
        <v>5</v>
      </c>
      <c r="D29" s="1" t="s">
        <v>5</v>
      </c>
      <c r="E29" s="1">
        <v>35</v>
      </c>
      <c r="F29" s="1">
        <v>30</v>
      </c>
      <c r="G29" s="1" t="s">
        <v>5</v>
      </c>
      <c r="H29" s="1">
        <v>6.3</v>
      </c>
      <c r="I29" s="1" t="s">
        <v>5</v>
      </c>
      <c r="J29" s="1" t="s">
        <v>5</v>
      </c>
      <c r="K29" s="1" t="s">
        <v>5</v>
      </c>
      <c r="L29" s="1">
        <v>0.3</v>
      </c>
      <c r="M29" s="1">
        <f t="shared" si="1"/>
        <v>100</v>
      </c>
      <c r="N29" s="1" t="s">
        <v>25</v>
      </c>
      <c r="O29" s="1">
        <v>0.44</v>
      </c>
      <c r="P29" s="1">
        <v>245.09999999999997</v>
      </c>
      <c r="Q29" s="1">
        <v>244.9</v>
      </c>
      <c r="R29" s="7">
        <f t="shared" si="2"/>
        <v>245</v>
      </c>
      <c r="S29" s="4">
        <f t="shared" si="3"/>
        <v>1960.7999999999997</v>
      </c>
      <c r="T29" s="4">
        <f t="shared" si="4"/>
        <v>1959.2</v>
      </c>
      <c r="U29" s="7">
        <f t="shared" si="0"/>
        <v>1960</v>
      </c>
      <c r="V29" s="4">
        <v>15.2</v>
      </c>
      <c r="W29" s="4">
        <v>14.8</v>
      </c>
      <c r="X29" s="7">
        <f t="shared" si="5"/>
        <v>15</v>
      </c>
    </row>
    <row r="30" spans="1:24" ht="16.8" customHeight="1" x14ac:dyDescent="0.3">
      <c r="A30" s="5">
        <v>27</v>
      </c>
      <c r="B30" s="1">
        <v>28.4</v>
      </c>
      <c r="C30" s="1" t="s">
        <v>5</v>
      </c>
      <c r="D30" s="1" t="s">
        <v>5</v>
      </c>
      <c r="E30" s="1">
        <v>35</v>
      </c>
      <c r="F30" s="1">
        <v>30</v>
      </c>
      <c r="G30" s="1" t="s">
        <v>5</v>
      </c>
      <c r="H30" s="1">
        <v>6.3</v>
      </c>
      <c r="I30" s="1" t="s">
        <v>5</v>
      </c>
      <c r="J30" s="1" t="s">
        <v>5</v>
      </c>
      <c r="K30" s="1" t="s">
        <v>5</v>
      </c>
      <c r="L30" s="1">
        <v>0.3</v>
      </c>
      <c r="M30" s="1">
        <f t="shared" si="1"/>
        <v>100</v>
      </c>
      <c r="N30" s="2" t="s">
        <v>26</v>
      </c>
      <c r="O30" s="1">
        <v>0.46</v>
      </c>
      <c r="P30" s="1">
        <v>235.3</v>
      </c>
      <c r="Q30" s="1">
        <v>233.94999999999996</v>
      </c>
      <c r="R30" s="7">
        <f t="shared" si="2"/>
        <v>234.625</v>
      </c>
      <c r="S30" s="4">
        <f t="shared" si="3"/>
        <v>1882.4</v>
      </c>
      <c r="T30" s="4">
        <f t="shared" si="4"/>
        <v>1871.5999999999997</v>
      </c>
      <c r="U30" s="7">
        <f t="shared" si="0"/>
        <v>1877</v>
      </c>
      <c r="V30" s="4">
        <v>12.9</v>
      </c>
      <c r="W30" s="4">
        <v>12.1</v>
      </c>
      <c r="X30" s="10">
        <f t="shared" si="5"/>
        <v>12.5</v>
      </c>
    </row>
    <row r="31" spans="1:24" x14ac:dyDescent="0.3">
      <c r="A31" s="4">
        <v>28</v>
      </c>
      <c r="B31" s="1">
        <v>0</v>
      </c>
      <c r="C31" s="2" t="s">
        <v>5</v>
      </c>
      <c r="D31" s="1">
        <v>48</v>
      </c>
      <c r="E31" s="1">
        <v>14</v>
      </c>
      <c r="F31" s="2" t="s">
        <v>5</v>
      </c>
      <c r="G31" s="1">
        <v>25</v>
      </c>
      <c r="H31" s="2" t="s">
        <v>5</v>
      </c>
      <c r="I31" s="1">
        <v>9</v>
      </c>
      <c r="J31" s="1">
        <v>4</v>
      </c>
      <c r="K31" s="2" t="s">
        <v>5</v>
      </c>
      <c r="L31" s="2" t="s">
        <v>5</v>
      </c>
      <c r="M31" s="1">
        <f t="shared" si="1"/>
        <v>100</v>
      </c>
      <c r="N31" s="2" t="s">
        <v>5</v>
      </c>
      <c r="O31" s="1">
        <v>0.46</v>
      </c>
      <c r="P31" s="1">
        <v>156</v>
      </c>
      <c r="Q31" s="1">
        <v>156</v>
      </c>
      <c r="R31" s="7">
        <f t="shared" si="2"/>
        <v>156</v>
      </c>
      <c r="S31" s="4">
        <f t="shared" si="3"/>
        <v>1248</v>
      </c>
      <c r="T31" s="4">
        <f t="shared" si="4"/>
        <v>1248</v>
      </c>
      <c r="U31" s="7">
        <f t="shared" si="0"/>
        <v>1248</v>
      </c>
      <c r="V31" s="4">
        <v>4.3</v>
      </c>
      <c r="W31" s="4">
        <v>4.7</v>
      </c>
      <c r="X31" s="10">
        <f t="shared" si="5"/>
        <v>4.5</v>
      </c>
    </row>
  </sheetData>
  <mergeCells count="3">
    <mergeCell ref="B2:F2"/>
    <mergeCell ref="G2:H2"/>
    <mergeCell ref="I2:K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C326-4022-4D81-899F-F1B1255D64B6}">
  <dimension ref="A1:AB16"/>
  <sheetViews>
    <sheetView workbookViewId="0">
      <selection activeCell="D26" sqref="D26"/>
    </sheetView>
  </sheetViews>
  <sheetFormatPr defaultRowHeight="14.4" x14ac:dyDescent="0.3"/>
  <cols>
    <col min="2" max="2" width="9.44140625" customWidth="1"/>
    <col min="3" max="3" width="21.77734375" customWidth="1"/>
    <col min="4" max="4" width="23.33203125" customWidth="1"/>
    <col min="5" max="5" width="23.6640625" customWidth="1"/>
    <col min="6" max="6" width="14.33203125" customWidth="1"/>
    <col min="7" max="7" width="18.33203125" customWidth="1"/>
    <col min="8" max="8" width="12.88671875" customWidth="1"/>
    <col min="9" max="9" width="14.33203125" customWidth="1"/>
    <col min="10" max="10" width="14.109375" customWidth="1"/>
    <col min="11" max="11" width="8.21875" customWidth="1"/>
    <col min="12" max="12" width="9.77734375" customWidth="1"/>
    <col min="13" max="13" width="14" customWidth="1"/>
    <col min="14" max="14" width="7.5546875" customWidth="1"/>
    <col min="15" max="15" width="48.44140625" customWidth="1"/>
    <col min="16" max="16" width="30.33203125" customWidth="1"/>
    <col min="17" max="17" width="28.44140625" customWidth="1"/>
    <col min="18" max="18" width="28.33203125" customWidth="1"/>
    <col min="19" max="19" width="24.88671875" customWidth="1"/>
    <col min="20" max="20" width="23.109375" customWidth="1"/>
    <col min="21" max="21" width="22.5546875" customWidth="1"/>
    <col min="22" max="22" width="25.6640625" style="4" customWidth="1"/>
    <col min="23" max="23" width="41.77734375" style="4" customWidth="1"/>
    <col min="24" max="24" width="41.6640625" style="4" customWidth="1"/>
    <col min="25" max="25" width="36.6640625" style="4" customWidth="1"/>
  </cols>
  <sheetData>
    <row r="1" spans="1:28" ht="19.2" customHeight="1" x14ac:dyDescent="0.35">
      <c r="A1" s="3" t="s">
        <v>36</v>
      </c>
    </row>
    <row r="2" spans="1:28" x14ac:dyDescent="0.3">
      <c r="B2" s="11" t="s">
        <v>20</v>
      </c>
      <c r="C2" s="11"/>
      <c r="D2" s="11"/>
      <c r="E2" s="11"/>
      <c r="F2" s="11" t="s">
        <v>21</v>
      </c>
      <c r="G2" s="11"/>
      <c r="H2" s="11"/>
      <c r="I2" s="11"/>
      <c r="J2" s="11"/>
      <c r="K2" s="11" t="s">
        <v>22</v>
      </c>
      <c r="L2" s="11"/>
    </row>
    <row r="3" spans="1:28" ht="16.8" x14ac:dyDescent="0.35">
      <c r="A3" s="4" t="s">
        <v>0</v>
      </c>
      <c r="B3" s="4" t="s">
        <v>8</v>
      </c>
      <c r="C3" s="4" t="s">
        <v>9</v>
      </c>
      <c r="D3" s="4" t="s">
        <v>11</v>
      </c>
      <c r="E3" s="4" t="s">
        <v>12</v>
      </c>
      <c r="F3" s="4" t="s">
        <v>28</v>
      </c>
      <c r="G3" s="12" t="s">
        <v>37</v>
      </c>
      <c r="H3" s="12" t="s">
        <v>38</v>
      </c>
      <c r="I3" s="12" t="s">
        <v>39</v>
      </c>
      <c r="J3" s="12" t="s">
        <v>39</v>
      </c>
      <c r="K3" s="13" t="s">
        <v>2</v>
      </c>
      <c r="L3" s="13" t="s">
        <v>13</v>
      </c>
      <c r="M3" s="12" t="s">
        <v>14</v>
      </c>
      <c r="N3" s="12" t="s">
        <v>52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32</v>
      </c>
      <c r="T3" s="9" t="s">
        <v>31</v>
      </c>
      <c r="U3" s="4" t="s">
        <v>30</v>
      </c>
      <c r="V3" s="6" t="s">
        <v>35</v>
      </c>
      <c r="W3" s="9" t="s">
        <v>33</v>
      </c>
      <c r="X3" s="9" t="s">
        <v>34</v>
      </c>
      <c r="Y3" s="6" t="s">
        <v>19</v>
      </c>
      <c r="Z3" s="4"/>
      <c r="AA3" s="4"/>
      <c r="AB3" s="4"/>
    </row>
    <row r="4" spans="1:28" x14ac:dyDescent="0.3">
      <c r="A4" s="4">
        <v>29</v>
      </c>
      <c r="B4" s="4">
        <v>20.9</v>
      </c>
      <c r="C4" s="4">
        <v>5</v>
      </c>
      <c r="D4" s="4">
        <v>50</v>
      </c>
      <c r="E4" s="4">
        <v>10</v>
      </c>
      <c r="F4" s="4">
        <v>10.4</v>
      </c>
      <c r="G4" s="4">
        <v>3.4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4">
        <v>0.3</v>
      </c>
      <c r="N4" s="4">
        <f>SUM(B4:M4)</f>
        <v>100.00000000000001</v>
      </c>
      <c r="O4" s="2" t="s">
        <v>41</v>
      </c>
      <c r="P4" s="1">
        <v>0.45</v>
      </c>
      <c r="Q4" s="1">
        <v>261.10000000000002</v>
      </c>
      <c r="R4" s="1">
        <v>261.3</v>
      </c>
      <c r="S4" s="7">
        <f>(Q4+R4)/2</f>
        <v>261.20000000000005</v>
      </c>
      <c r="T4" s="4">
        <f>(Q4/1000)/0.000125</f>
        <v>2088.7999999999997</v>
      </c>
      <c r="U4" s="4">
        <f>(R4/1000)/0.000125</f>
        <v>2090.4</v>
      </c>
      <c r="V4" s="7">
        <f t="shared" ref="V4:V13" si="0">(T4+U4)/2</f>
        <v>2089.6</v>
      </c>
      <c r="W4" s="4">
        <v>23.4</v>
      </c>
      <c r="X4" s="4">
        <v>22.8</v>
      </c>
      <c r="Y4" s="7">
        <f>(W4+X4)/2</f>
        <v>23.1</v>
      </c>
      <c r="Z4" s="4"/>
      <c r="AA4" s="4"/>
      <c r="AB4" s="4"/>
    </row>
    <row r="5" spans="1:28" x14ac:dyDescent="0.3">
      <c r="A5" s="4">
        <v>30</v>
      </c>
      <c r="B5" s="4">
        <v>18</v>
      </c>
      <c r="C5" s="4">
        <v>5</v>
      </c>
      <c r="D5" s="4">
        <v>50</v>
      </c>
      <c r="E5" s="4">
        <v>10</v>
      </c>
      <c r="F5" s="4">
        <v>12.1</v>
      </c>
      <c r="G5" s="4">
        <v>4.9000000000000004</v>
      </c>
      <c r="H5" s="4" t="s">
        <v>5</v>
      </c>
      <c r="I5" s="4" t="s">
        <v>5</v>
      </c>
      <c r="J5" s="4" t="s">
        <v>5</v>
      </c>
      <c r="K5" s="4" t="s">
        <v>5</v>
      </c>
      <c r="L5" s="4" t="s">
        <v>5</v>
      </c>
      <c r="M5" s="4" t="s">
        <v>5</v>
      </c>
      <c r="N5" s="4">
        <f t="shared" ref="N5:N13" si="1">SUM(B5:M5)</f>
        <v>100</v>
      </c>
      <c r="O5" s="2" t="s">
        <v>42</v>
      </c>
      <c r="P5" s="1">
        <v>0.45</v>
      </c>
      <c r="Q5" s="1">
        <v>251.4</v>
      </c>
      <c r="R5" s="1">
        <v>251.2</v>
      </c>
      <c r="S5" s="7">
        <f t="shared" ref="S5:S13" si="2">(Q5+R5)/2</f>
        <v>251.3</v>
      </c>
      <c r="T5" s="4">
        <f>(Q5/1000)/0.000125</f>
        <v>2011.2</v>
      </c>
      <c r="U5" s="4">
        <f>(R5/1000)/0.000125</f>
        <v>2009.5999999999997</v>
      </c>
      <c r="V5" s="7">
        <f t="shared" si="0"/>
        <v>2010.3999999999999</v>
      </c>
      <c r="W5" s="4">
        <v>16.100000000000001</v>
      </c>
      <c r="X5" s="4">
        <v>16.2</v>
      </c>
      <c r="Y5" s="7">
        <f t="shared" ref="Y5:Y13" si="3">(W5+X5)/2</f>
        <v>16.149999999999999</v>
      </c>
      <c r="Z5" s="4"/>
      <c r="AA5" s="4"/>
      <c r="AB5" s="4"/>
    </row>
    <row r="6" spans="1:28" x14ac:dyDescent="0.3">
      <c r="A6" s="4">
        <v>31</v>
      </c>
      <c r="B6" s="4">
        <v>17.100000000000001</v>
      </c>
      <c r="C6" s="4">
        <v>5</v>
      </c>
      <c r="D6" s="4">
        <v>50</v>
      </c>
      <c r="E6" s="4">
        <v>10</v>
      </c>
      <c r="F6" s="4">
        <v>11.4</v>
      </c>
      <c r="G6" s="4">
        <v>6.5</v>
      </c>
      <c r="H6" s="4" t="s">
        <v>5</v>
      </c>
      <c r="I6" s="4" t="s">
        <v>5</v>
      </c>
      <c r="J6" s="4" t="s">
        <v>5</v>
      </c>
      <c r="K6" s="4" t="s">
        <v>5</v>
      </c>
      <c r="L6" s="4" t="s">
        <v>5</v>
      </c>
      <c r="M6" s="4" t="s">
        <v>5</v>
      </c>
      <c r="N6" s="4">
        <f t="shared" si="1"/>
        <v>100</v>
      </c>
      <c r="O6" s="2" t="s">
        <v>43</v>
      </c>
      <c r="P6" s="1">
        <v>0.46</v>
      </c>
      <c r="Q6" s="1">
        <v>262.89999999999998</v>
      </c>
      <c r="R6" s="1">
        <v>262.5</v>
      </c>
      <c r="S6" s="7">
        <f t="shared" si="2"/>
        <v>262.7</v>
      </c>
      <c r="T6" s="4">
        <f>(Q6/1000)/0.000125</f>
        <v>2103.1999999999998</v>
      </c>
      <c r="U6" s="4">
        <f>(R6/1000)/0.000125</f>
        <v>2100</v>
      </c>
      <c r="V6" s="7">
        <f t="shared" si="0"/>
        <v>2101.6</v>
      </c>
      <c r="W6" s="4">
        <v>14.2</v>
      </c>
      <c r="X6" s="4">
        <v>14.8</v>
      </c>
      <c r="Y6" s="10">
        <f t="shared" si="3"/>
        <v>14.5</v>
      </c>
      <c r="Z6" s="4"/>
      <c r="AA6" s="4"/>
      <c r="AB6" s="4"/>
    </row>
    <row r="7" spans="1:28" x14ac:dyDescent="0.3">
      <c r="A7" s="4">
        <v>32</v>
      </c>
      <c r="B7" s="4">
        <v>17.399999999999999</v>
      </c>
      <c r="C7" s="4">
        <v>5</v>
      </c>
      <c r="D7" s="4">
        <v>50</v>
      </c>
      <c r="E7" s="4">
        <v>10</v>
      </c>
      <c r="F7" s="4">
        <v>10.8</v>
      </c>
      <c r="G7" s="4">
        <v>6.8</v>
      </c>
      <c r="H7" s="4" t="s">
        <v>5</v>
      </c>
      <c r="I7" s="4" t="s">
        <v>5</v>
      </c>
      <c r="J7" s="4" t="s">
        <v>5</v>
      </c>
      <c r="K7" s="4" t="s">
        <v>5</v>
      </c>
      <c r="L7" s="4" t="s">
        <v>5</v>
      </c>
      <c r="M7" s="4" t="s">
        <v>5</v>
      </c>
      <c r="N7" s="4">
        <f t="shared" si="1"/>
        <v>100</v>
      </c>
      <c r="O7" s="2" t="s">
        <v>44</v>
      </c>
      <c r="P7" s="1">
        <v>0.64</v>
      </c>
      <c r="Q7" s="1">
        <v>241.4</v>
      </c>
      <c r="R7" s="1">
        <v>241.4</v>
      </c>
      <c r="S7" s="7">
        <f t="shared" si="2"/>
        <v>241.4</v>
      </c>
      <c r="T7" s="4">
        <f>(Q7/1000)/0.000125</f>
        <v>1931.2</v>
      </c>
      <c r="U7" s="4">
        <f>(R7/1000)/0.000125</f>
        <v>1931.2</v>
      </c>
      <c r="V7" s="7">
        <f t="shared" si="0"/>
        <v>1931.2</v>
      </c>
      <c r="W7" s="4">
        <v>8.4</v>
      </c>
      <c r="X7" s="4">
        <v>9.5</v>
      </c>
      <c r="Y7" s="7">
        <f t="shared" si="3"/>
        <v>8.9499999999999993</v>
      </c>
      <c r="Z7" s="4"/>
      <c r="AA7" s="4"/>
      <c r="AB7" s="4"/>
    </row>
    <row r="8" spans="1:28" ht="14.4" customHeight="1" x14ac:dyDescent="0.3">
      <c r="A8" s="4">
        <v>33</v>
      </c>
      <c r="B8" s="4">
        <v>31</v>
      </c>
      <c r="C8" s="4">
        <v>3</v>
      </c>
      <c r="D8" s="4">
        <v>50</v>
      </c>
      <c r="E8" s="4">
        <v>7</v>
      </c>
      <c r="F8" s="4" t="s">
        <v>5</v>
      </c>
      <c r="G8" s="4">
        <v>4</v>
      </c>
      <c r="H8" s="4">
        <v>5</v>
      </c>
      <c r="I8" s="4" t="s">
        <v>5</v>
      </c>
      <c r="J8" s="4" t="s">
        <v>5</v>
      </c>
      <c r="K8" s="4" t="s">
        <v>5</v>
      </c>
      <c r="L8" s="4" t="s">
        <v>5</v>
      </c>
      <c r="M8" s="4" t="s">
        <v>5</v>
      </c>
      <c r="N8" s="4">
        <f t="shared" si="1"/>
        <v>100</v>
      </c>
      <c r="O8" s="2" t="s">
        <v>45</v>
      </c>
      <c r="P8" s="1">
        <v>0.48</v>
      </c>
      <c r="Q8" s="1">
        <v>235.4</v>
      </c>
      <c r="R8" s="1">
        <v>235.2</v>
      </c>
      <c r="S8" s="7">
        <f t="shared" si="2"/>
        <v>235.3</v>
      </c>
      <c r="T8" s="4">
        <f>(Q8/1000)/0.000125</f>
        <v>1883.2</v>
      </c>
      <c r="U8" s="4">
        <f>(R8/1000)/0.000125</f>
        <v>1881.6</v>
      </c>
      <c r="V8" s="7">
        <f t="shared" si="0"/>
        <v>1882.4</v>
      </c>
      <c r="W8" s="4">
        <v>18.100000000000001</v>
      </c>
      <c r="X8" s="4">
        <v>18</v>
      </c>
      <c r="Y8" s="7">
        <f t="shared" si="3"/>
        <v>18.05</v>
      </c>
      <c r="Z8" s="4"/>
      <c r="AA8" s="4"/>
      <c r="AB8" s="4"/>
    </row>
    <row r="9" spans="1:28" x14ac:dyDescent="0.3">
      <c r="A9" s="4">
        <v>34</v>
      </c>
      <c r="B9" s="4">
        <v>25</v>
      </c>
      <c r="C9" s="4">
        <v>3</v>
      </c>
      <c r="D9" s="4">
        <v>47</v>
      </c>
      <c r="E9" s="4">
        <v>5</v>
      </c>
      <c r="F9" s="4">
        <v>12.5</v>
      </c>
      <c r="G9" s="4">
        <v>4</v>
      </c>
      <c r="H9" s="4" t="s">
        <v>5</v>
      </c>
      <c r="I9" s="4" t="s">
        <v>5</v>
      </c>
      <c r="J9" s="4" t="s">
        <v>5</v>
      </c>
      <c r="K9" s="4">
        <v>1.5</v>
      </c>
      <c r="L9" s="4">
        <v>1.6</v>
      </c>
      <c r="M9" s="4">
        <v>0.4</v>
      </c>
      <c r="N9" s="4">
        <f t="shared" si="1"/>
        <v>100</v>
      </c>
      <c r="O9" s="2" t="s">
        <v>46</v>
      </c>
      <c r="P9" s="1">
        <v>0.42</v>
      </c>
      <c r="Q9" s="1">
        <v>255</v>
      </c>
      <c r="R9" s="1">
        <v>254.4</v>
      </c>
      <c r="S9" s="7">
        <f t="shared" si="2"/>
        <v>254.7</v>
      </c>
      <c r="T9" s="4">
        <f>(Q9/1000)/0.000125</f>
        <v>2040</v>
      </c>
      <c r="U9" s="4">
        <f>(R9/1000)/0.000125</f>
        <v>2035.2</v>
      </c>
      <c r="V9" s="7">
        <f t="shared" si="0"/>
        <v>2037.6</v>
      </c>
      <c r="W9" s="4">
        <v>21.3</v>
      </c>
      <c r="X9" s="4">
        <v>21.6</v>
      </c>
      <c r="Y9" s="10">
        <f t="shared" si="3"/>
        <v>21.450000000000003</v>
      </c>
      <c r="Z9" s="4"/>
      <c r="AA9" s="4"/>
      <c r="AB9" s="4"/>
    </row>
    <row r="10" spans="1:28" ht="13.8" customHeight="1" x14ac:dyDescent="0.3">
      <c r="A10" s="4">
        <v>35</v>
      </c>
      <c r="B10" s="4" t="s">
        <v>5</v>
      </c>
      <c r="C10" s="4">
        <v>20</v>
      </c>
      <c r="D10" s="4">
        <v>47</v>
      </c>
      <c r="E10" s="4">
        <v>10.1</v>
      </c>
      <c r="F10" s="4">
        <v>12</v>
      </c>
      <c r="G10" s="4">
        <v>10.9</v>
      </c>
      <c r="H10" s="4" t="s">
        <v>5</v>
      </c>
      <c r="I10" s="4" t="s">
        <v>5</v>
      </c>
      <c r="J10" s="4" t="s">
        <v>5</v>
      </c>
      <c r="K10" s="4" t="s">
        <v>5</v>
      </c>
      <c r="L10" s="4" t="s">
        <v>5</v>
      </c>
      <c r="M10" s="4" t="s">
        <v>5</v>
      </c>
      <c r="N10" s="4">
        <f t="shared" si="1"/>
        <v>100</v>
      </c>
      <c r="O10" s="1" t="s">
        <v>47</v>
      </c>
      <c r="P10" s="1">
        <v>0.38</v>
      </c>
      <c r="Q10" s="1">
        <v>254.6</v>
      </c>
      <c r="R10" s="1">
        <v>254.6</v>
      </c>
      <c r="S10" s="7">
        <f t="shared" si="2"/>
        <v>254.6</v>
      </c>
      <c r="T10" s="4">
        <f>(Q10/1000)/0.000125</f>
        <v>2036.8</v>
      </c>
      <c r="U10" s="4">
        <f>(R10/1000)/0.000125</f>
        <v>2036.8</v>
      </c>
      <c r="V10" s="7">
        <f t="shared" si="0"/>
        <v>2036.8</v>
      </c>
      <c r="W10" s="4">
        <v>9.3000000000000007</v>
      </c>
      <c r="X10" s="4">
        <v>9.6999999999999993</v>
      </c>
      <c r="Y10" s="10">
        <f t="shared" si="3"/>
        <v>9.5</v>
      </c>
      <c r="Z10" s="4"/>
      <c r="AA10" s="4"/>
      <c r="AB10" s="4"/>
    </row>
    <row r="11" spans="1:28" x14ac:dyDescent="0.3">
      <c r="A11" s="4">
        <v>36</v>
      </c>
      <c r="B11" s="4" t="s">
        <v>40</v>
      </c>
      <c r="C11" s="4">
        <v>3.3</v>
      </c>
      <c r="D11" s="4">
        <v>43.5</v>
      </c>
      <c r="E11" s="4">
        <v>18.600000000000001</v>
      </c>
      <c r="F11" s="4">
        <v>8.1999999999999993</v>
      </c>
      <c r="G11" s="4" t="s">
        <v>5</v>
      </c>
      <c r="H11" s="4" t="s">
        <v>5</v>
      </c>
      <c r="I11" s="4">
        <v>14</v>
      </c>
      <c r="J11" s="4">
        <v>7</v>
      </c>
      <c r="K11" s="4" t="s">
        <v>5</v>
      </c>
      <c r="L11" s="4" t="s">
        <v>5</v>
      </c>
      <c r="M11" s="4">
        <v>0.4</v>
      </c>
      <c r="N11" s="4">
        <v>100</v>
      </c>
      <c r="O11" s="2" t="s">
        <v>5</v>
      </c>
      <c r="P11" s="1">
        <v>0.37</v>
      </c>
      <c r="Q11" s="1">
        <v>239.3</v>
      </c>
      <c r="R11" s="1">
        <v>238.7</v>
      </c>
      <c r="S11" s="7">
        <f t="shared" si="2"/>
        <v>239</v>
      </c>
      <c r="T11" s="4">
        <f>(Q11/1000)/0.000125</f>
        <v>1914.4</v>
      </c>
      <c r="U11" s="4">
        <f>(R11/1000)/0.000125</f>
        <v>1909.6</v>
      </c>
      <c r="V11" s="7">
        <f t="shared" si="0"/>
        <v>1912</v>
      </c>
      <c r="W11" s="4">
        <v>5.8</v>
      </c>
      <c r="X11" s="4">
        <v>6.2</v>
      </c>
      <c r="Y11" s="7">
        <f t="shared" si="3"/>
        <v>6</v>
      </c>
      <c r="Z11" s="4"/>
      <c r="AA11" s="4"/>
      <c r="AB11" s="4"/>
    </row>
    <row r="12" spans="1:28" x14ac:dyDescent="0.3">
      <c r="A12" s="4">
        <v>37</v>
      </c>
      <c r="B12" s="4">
        <v>26.4</v>
      </c>
      <c r="C12" s="4">
        <v>3</v>
      </c>
      <c r="D12" s="4">
        <v>40</v>
      </c>
      <c r="E12" s="4">
        <v>17</v>
      </c>
      <c r="F12" s="4">
        <v>10.199999999999999</v>
      </c>
      <c r="G12" s="4">
        <v>3</v>
      </c>
      <c r="H12" s="4" t="s">
        <v>5</v>
      </c>
      <c r="I12" s="4" t="s">
        <v>5</v>
      </c>
      <c r="J12" s="4" t="s">
        <v>5</v>
      </c>
      <c r="K12" s="4" t="s">
        <v>5</v>
      </c>
      <c r="L12" s="4" t="s">
        <v>5</v>
      </c>
      <c r="M12" s="4">
        <v>0.4</v>
      </c>
      <c r="N12" s="4">
        <f t="shared" si="1"/>
        <v>100.00000000000001</v>
      </c>
      <c r="O12" s="1" t="s">
        <v>48</v>
      </c>
      <c r="P12" s="1">
        <v>0.43</v>
      </c>
      <c r="Q12" s="1">
        <v>258</v>
      </c>
      <c r="R12" s="1">
        <v>257.8</v>
      </c>
      <c r="S12" s="7">
        <f t="shared" si="2"/>
        <v>257.89999999999998</v>
      </c>
      <c r="T12" s="4">
        <f>(Q12/1000)/0.000125</f>
        <v>2064</v>
      </c>
      <c r="U12" s="4">
        <f>(R12/1000)/0.000125</f>
        <v>2062.4</v>
      </c>
      <c r="V12" s="7">
        <f t="shared" si="0"/>
        <v>2063.1999999999998</v>
      </c>
      <c r="W12" s="4">
        <v>24.3</v>
      </c>
      <c r="X12" s="4">
        <v>23.9</v>
      </c>
      <c r="Y12" s="7">
        <f t="shared" si="3"/>
        <v>24.1</v>
      </c>
      <c r="Z12" s="4"/>
      <c r="AA12" s="4"/>
      <c r="AB12" s="4"/>
    </row>
    <row r="13" spans="1:28" ht="14.4" customHeight="1" x14ac:dyDescent="0.3">
      <c r="A13" s="4">
        <v>38</v>
      </c>
      <c r="B13" s="4">
        <v>36.4</v>
      </c>
      <c r="C13" s="4">
        <v>3</v>
      </c>
      <c r="D13" s="4">
        <v>40</v>
      </c>
      <c r="E13" s="4">
        <v>17</v>
      </c>
      <c r="F13" s="4" t="s">
        <v>5</v>
      </c>
      <c r="G13" s="4">
        <v>1.6</v>
      </c>
      <c r="H13" s="4">
        <v>2</v>
      </c>
      <c r="I13" s="4" t="s">
        <v>5</v>
      </c>
      <c r="J13" s="4" t="s">
        <v>5</v>
      </c>
      <c r="K13" s="4" t="s">
        <v>5</v>
      </c>
      <c r="L13" s="4" t="s">
        <v>5</v>
      </c>
      <c r="M13" s="4" t="s">
        <v>5</v>
      </c>
      <c r="N13" s="4">
        <f t="shared" si="1"/>
        <v>100</v>
      </c>
      <c r="O13" s="1" t="s">
        <v>49</v>
      </c>
      <c r="P13" s="1">
        <v>0.47</v>
      </c>
      <c r="Q13" s="1">
        <v>234.4</v>
      </c>
      <c r="R13" s="1">
        <v>234</v>
      </c>
      <c r="S13" s="7">
        <f t="shared" si="2"/>
        <v>234.2</v>
      </c>
      <c r="T13" s="4">
        <f>(Q13/1000)/0.000125</f>
        <v>1875.2</v>
      </c>
      <c r="U13" s="4">
        <f>(R13/1000)/0.000125</f>
        <v>1872</v>
      </c>
      <c r="V13" s="7">
        <f t="shared" si="0"/>
        <v>1873.6</v>
      </c>
      <c r="W13" s="4">
        <v>21</v>
      </c>
      <c r="X13" s="4">
        <v>21.3</v>
      </c>
      <c r="Y13" s="7">
        <f t="shared" si="3"/>
        <v>21.15</v>
      </c>
      <c r="Z13" s="4"/>
      <c r="AA13" s="4"/>
      <c r="AB13" s="4"/>
    </row>
    <row r="14" spans="1:28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Z14" s="4"/>
      <c r="AA14" s="4"/>
      <c r="AB14" s="4"/>
    </row>
    <row r="15" spans="1:28" x14ac:dyDescent="0.3">
      <c r="A15" s="14" t="s">
        <v>50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Z15" s="4"/>
      <c r="AA15" s="4"/>
      <c r="AB15" s="4"/>
    </row>
    <row r="16" spans="1:28" x14ac:dyDescent="0.3">
      <c r="A16" s="14" t="s">
        <v>51</v>
      </c>
    </row>
  </sheetData>
  <mergeCells count="3">
    <mergeCell ref="B2:E2"/>
    <mergeCell ref="K2:L2"/>
    <mergeCell ref="F2:J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0B53-E57E-490D-B93A-A64290F11F4D}">
  <dimension ref="A1:U15"/>
  <sheetViews>
    <sheetView workbookViewId="0">
      <selection activeCell="E21" sqref="E21"/>
    </sheetView>
  </sheetViews>
  <sheetFormatPr defaultRowHeight="14.4" x14ac:dyDescent="0.3"/>
  <cols>
    <col min="2" max="2" width="10" customWidth="1"/>
    <col min="3" max="3" width="22.33203125" customWidth="1"/>
    <col min="4" max="4" width="18.6640625" customWidth="1"/>
    <col min="5" max="5" width="23.109375" customWidth="1"/>
    <col min="6" max="6" width="23.5546875" customWidth="1"/>
    <col min="7" max="7" width="14.33203125" customWidth="1"/>
    <col min="8" max="8" width="42.88671875" customWidth="1"/>
    <col min="9" max="9" width="50.21875" customWidth="1"/>
    <col min="10" max="10" width="14" customWidth="1"/>
    <col min="11" max="11" width="7.5546875" customWidth="1"/>
    <col min="12" max="12" width="48.44140625" customWidth="1"/>
    <col min="13" max="13" width="28.44140625" customWidth="1"/>
    <col min="14" max="14" width="28.33203125" customWidth="1"/>
    <col min="15" max="15" width="24.88671875" customWidth="1"/>
    <col min="16" max="16" width="23.109375" customWidth="1"/>
    <col min="17" max="17" width="22.5546875" customWidth="1"/>
    <col min="18" max="18" width="25.6640625" style="4" customWidth="1"/>
    <col min="19" max="19" width="41.77734375" style="4" customWidth="1"/>
    <col min="20" max="20" width="41.6640625" style="4" customWidth="1"/>
    <col min="21" max="21" width="36.6640625" style="4" customWidth="1"/>
  </cols>
  <sheetData>
    <row r="1" spans="1:21" ht="19.2" customHeight="1" x14ac:dyDescent="0.35">
      <c r="A1" s="3" t="s">
        <v>53</v>
      </c>
    </row>
    <row r="2" spans="1:21" x14ac:dyDescent="0.3">
      <c r="B2" s="11" t="s">
        <v>20</v>
      </c>
      <c r="C2" s="11"/>
      <c r="D2" s="11"/>
      <c r="E2" s="11"/>
      <c r="F2" s="11"/>
      <c r="G2" s="11" t="s">
        <v>21</v>
      </c>
      <c r="H2" s="11"/>
      <c r="I2" s="11"/>
    </row>
    <row r="3" spans="1:21" s="4" customFormat="1" ht="16.8" x14ac:dyDescent="0.35">
      <c r="A3" s="4" t="s">
        <v>0</v>
      </c>
      <c r="B3" s="4" t="s">
        <v>8</v>
      </c>
      <c r="C3" s="4" t="s">
        <v>9</v>
      </c>
      <c r="D3" s="4" t="s">
        <v>54</v>
      </c>
      <c r="E3" s="4" t="s">
        <v>11</v>
      </c>
      <c r="F3" s="4" t="s">
        <v>12</v>
      </c>
      <c r="G3" s="4" t="s">
        <v>28</v>
      </c>
      <c r="H3" s="12" t="s">
        <v>55</v>
      </c>
      <c r="I3" s="12" t="s">
        <v>56</v>
      </c>
      <c r="J3" s="12" t="s">
        <v>14</v>
      </c>
      <c r="K3" s="12" t="s">
        <v>52</v>
      </c>
      <c r="L3" s="4" t="s">
        <v>15</v>
      </c>
      <c r="M3" s="4" t="s">
        <v>17</v>
      </c>
      <c r="N3" s="4" t="s">
        <v>18</v>
      </c>
      <c r="O3" s="4" t="s">
        <v>32</v>
      </c>
      <c r="P3" s="9" t="s">
        <v>31</v>
      </c>
      <c r="Q3" s="4" t="s">
        <v>30</v>
      </c>
      <c r="R3" s="6" t="s">
        <v>35</v>
      </c>
      <c r="S3" s="9" t="s">
        <v>33</v>
      </c>
      <c r="T3" s="9" t="s">
        <v>34</v>
      </c>
      <c r="U3" s="6" t="s">
        <v>19</v>
      </c>
    </row>
    <row r="4" spans="1:21" ht="28.8" x14ac:dyDescent="0.3">
      <c r="A4" s="4">
        <v>39</v>
      </c>
      <c r="B4" s="4">
        <v>32.1</v>
      </c>
      <c r="C4" s="4">
        <v>3</v>
      </c>
      <c r="D4" s="4" t="s">
        <v>5</v>
      </c>
      <c r="E4" s="4">
        <v>40</v>
      </c>
      <c r="F4" s="4">
        <v>17</v>
      </c>
      <c r="G4" s="4">
        <v>7.5</v>
      </c>
      <c r="H4" s="4">
        <v>0.62</v>
      </c>
      <c r="I4" s="4" t="s">
        <v>5</v>
      </c>
      <c r="J4" s="4">
        <v>0.4</v>
      </c>
      <c r="K4" s="4">
        <f>SUM(B4:G4)+J4</f>
        <v>100</v>
      </c>
      <c r="L4" s="2" t="s">
        <v>57</v>
      </c>
      <c r="M4" s="18">
        <v>262.7</v>
      </c>
      <c r="N4" s="18">
        <v>262.3</v>
      </c>
      <c r="O4" s="7">
        <f>(M4+N4)/2</f>
        <v>262.5</v>
      </c>
      <c r="P4" s="4">
        <f>(M4/1000)/0.000125</f>
        <v>2101.6</v>
      </c>
      <c r="Q4" s="4">
        <f>(N4/1000)/0.000125</f>
        <v>2098.4</v>
      </c>
      <c r="R4" s="7">
        <f t="shared" ref="R4:R13" si="0">(P4+Q4)/2</f>
        <v>2100</v>
      </c>
      <c r="S4" s="4">
        <v>25.4</v>
      </c>
      <c r="T4" s="4">
        <v>24.6</v>
      </c>
      <c r="U4" s="7">
        <f>(S4+T4)/2</f>
        <v>25</v>
      </c>
    </row>
    <row r="5" spans="1:21" ht="28.8" x14ac:dyDescent="0.3">
      <c r="A5" s="4">
        <v>40</v>
      </c>
      <c r="B5" s="4">
        <v>24.6</v>
      </c>
      <c r="C5" s="4">
        <v>10</v>
      </c>
      <c r="D5" s="4">
        <v>10</v>
      </c>
      <c r="E5" s="4">
        <v>35</v>
      </c>
      <c r="F5" s="4">
        <v>15</v>
      </c>
      <c r="G5" s="4">
        <v>5</v>
      </c>
      <c r="H5" s="4" t="s">
        <v>5</v>
      </c>
      <c r="I5" s="4">
        <v>0.57999999999999996</v>
      </c>
      <c r="J5" s="4">
        <v>0.4</v>
      </c>
      <c r="K5" s="4">
        <f>SUM(B5:G5)+J5</f>
        <v>100</v>
      </c>
      <c r="L5" s="2" t="s">
        <v>57</v>
      </c>
      <c r="M5" s="18">
        <v>240.8</v>
      </c>
      <c r="N5" s="18">
        <v>241</v>
      </c>
      <c r="O5" s="7">
        <f t="shared" ref="O5:O13" si="1">(M5+N5)/2</f>
        <v>240.9</v>
      </c>
      <c r="P5" s="4">
        <f>(M5/1000)/0.000125</f>
        <v>1926.4</v>
      </c>
      <c r="Q5" s="4">
        <f>(N5/1000)/0.000125</f>
        <v>1928</v>
      </c>
      <c r="R5" s="7">
        <f t="shared" si="0"/>
        <v>1927.2</v>
      </c>
      <c r="S5" s="4">
        <v>17.100000000000001</v>
      </c>
      <c r="T5" s="4">
        <v>17.3</v>
      </c>
      <c r="U5" s="7">
        <f t="shared" ref="U5:U13" si="2">(S5+T5)/2</f>
        <v>17.200000000000003</v>
      </c>
    </row>
    <row r="6" spans="1:21" x14ac:dyDescent="0.3">
      <c r="J6" s="4"/>
      <c r="K6" s="4"/>
      <c r="L6" s="2"/>
      <c r="M6" s="1"/>
      <c r="N6" s="1"/>
      <c r="O6" s="7"/>
      <c r="P6" s="4"/>
      <c r="Q6" s="4"/>
      <c r="R6" s="7"/>
      <c r="U6" s="10"/>
    </row>
    <row r="7" spans="1:21" x14ac:dyDescent="0.3">
      <c r="J7" s="4"/>
      <c r="K7" s="4"/>
      <c r="L7" s="2"/>
      <c r="M7" s="1"/>
      <c r="N7" s="1"/>
      <c r="O7" s="7"/>
      <c r="P7" s="4"/>
      <c r="Q7" s="4"/>
      <c r="R7" s="7"/>
      <c r="U7" s="7"/>
    </row>
    <row r="8" spans="1:21" x14ac:dyDescent="0.3">
      <c r="J8" s="4"/>
      <c r="K8" s="4"/>
      <c r="L8" s="2"/>
      <c r="M8" s="1"/>
      <c r="N8" s="1"/>
      <c r="O8" s="7"/>
      <c r="P8" s="4"/>
      <c r="Q8" s="4"/>
      <c r="R8" s="7"/>
      <c r="U8" s="7"/>
    </row>
    <row r="9" spans="1:21" x14ac:dyDescent="0.3">
      <c r="J9" s="4"/>
      <c r="K9" s="4"/>
      <c r="L9" s="2"/>
      <c r="M9" s="1"/>
      <c r="N9" s="1"/>
      <c r="O9" s="7"/>
      <c r="P9" s="4"/>
      <c r="Q9" s="4"/>
      <c r="R9" s="7"/>
      <c r="U9" s="10"/>
    </row>
    <row r="10" spans="1:21" x14ac:dyDescent="0.3">
      <c r="J10" s="4"/>
      <c r="K10" s="4"/>
      <c r="L10" s="1"/>
      <c r="M10" s="1"/>
      <c r="N10" s="1"/>
      <c r="O10" s="7"/>
      <c r="P10" s="4"/>
      <c r="Q10" s="4"/>
      <c r="R10" s="7"/>
      <c r="U10" s="10"/>
    </row>
    <row r="11" spans="1:21" x14ac:dyDescent="0.3">
      <c r="J11" s="4"/>
      <c r="K11" s="4"/>
      <c r="L11" s="2"/>
      <c r="M11" s="1"/>
      <c r="N11" s="1"/>
      <c r="O11" s="7"/>
      <c r="P11" s="4"/>
      <c r="Q11" s="4"/>
      <c r="R11" s="7"/>
      <c r="U11" s="7"/>
    </row>
    <row r="12" spans="1:21" x14ac:dyDescent="0.3">
      <c r="J12" s="4"/>
      <c r="K12" s="4"/>
      <c r="L12" s="1"/>
      <c r="M12" s="1"/>
      <c r="N12" s="1"/>
      <c r="O12" s="7"/>
      <c r="P12" s="4"/>
      <c r="Q12" s="4"/>
      <c r="R12" s="7"/>
      <c r="U12" s="7"/>
    </row>
    <row r="13" spans="1:21" x14ac:dyDescent="0.3">
      <c r="J13" s="4"/>
      <c r="K13" s="4"/>
      <c r="L13" s="1"/>
      <c r="M13" s="1"/>
      <c r="N13" s="1"/>
      <c r="O13" s="7"/>
      <c r="P13" s="4"/>
      <c r="Q13" s="4"/>
      <c r="R13" s="7"/>
      <c r="U13" s="7"/>
    </row>
    <row r="14" spans="1:21" x14ac:dyDescent="0.3">
      <c r="J14" s="4"/>
      <c r="K14" s="4"/>
      <c r="L14" s="4"/>
      <c r="M14" s="4"/>
      <c r="N14" s="4"/>
      <c r="O14" s="4"/>
      <c r="P14" s="4"/>
      <c r="Q14" s="4"/>
    </row>
    <row r="15" spans="1:21" x14ac:dyDescent="0.3">
      <c r="J15" s="4"/>
      <c r="K15" s="4"/>
      <c r="L15" s="4"/>
      <c r="M15" s="4"/>
      <c r="N15" s="4"/>
      <c r="O15" s="4"/>
      <c r="P15" s="4"/>
      <c r="Q15" s="4"/>
    </row>
  </sheetData>
  <mergeCells count="2">
    <mergeCell ref="B2:F2"/>
    <mergeCell ref="G2:I2"/>
  </mergeCells>
  <pageMargins left="0.7" right="0.7" top="0.75" bottom="0.75" header="0.3" footer="0.3"/>
  <pageSetup orientation="portrait" r:id="rId1"/>
  <ignoredErrors>
    <ignoredError sqref="K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7ACA-E376-461A-A4B2-CDF36596AE0F}">
  <dimension ref="A2:H17"/>
  <sheetViews>
    <sheetView workbookViewId="0">
      <selection activeCell="D24" sqref="D24"/>
    </sheetView>
  </sheetViews>
  <sheetFormatPr defaultRowHeight="14.4" x14ac:dyDescent="0.3"/>
  <cols>
    <col min="1" max="1" width="16.109375" customWidth="1"/>
    <col min="2" max="2" width="32.88671875" customWidth="1"/>
    <col min="3" max="3" width="18.88671875" customWidth="1"/>
    <col min="4" max="4" width="28" style="4" customWidth="1"/>
    <col min="5" max="5" width="21" customWidth="1"/>
    <col min="7" max="7" width="14.77734375" style="4" customWidth="1"/>
    <col min="8" max="8" width="20" customWidth="1"/>
    <col min="244" max="244" width="16.109375" customWidth="1"/>
    <col min="245" max="245" width="14.77734375" customWidth="1"/>
    <col min="247" max="247" width="10.6640625" customWidth="1"/>
    <col min="249" max="249" width="9.33203125" customWidth="1"/>
    <col min="251" max="251" width="16.6640625" customWidth="1"/>
    <col min="253" max="253" width="11.44140625" customWidth="1"/>
    <col min="265" max="265" width="22.6640625" customWidth="1"/>
    <col min="266" max="266" width="20.109375" customWidth="1"/>
    <col min="271" max="271" width="10.77734375" customWidth="1"/>
    <col min="272" max="272" width="13.88671875" customWidth="1"/>
    <col min="273" max="273" width="11.21875" customWidth="1"/>
    <col min="500" max="500" width="16.109375" customWidth="1"/>
    <col min="501" max="501" width="14.77734375" customWidth="1"/>
    <col min="503" max="503" width="10.6640625" customWidth="1"/>
    <col min="505" max="505" width="9.33203125" customWidth="1"/>
    <col min="507" max="507" width="16.6640625" customWidth="1"/>
    <col min="509" max="509" width="11.44140625" customWidth="1"/>
    <col min="521" max="521" width="22.6640625" customWidth="1"/>
    <col min="522" max="522" width="20.109375" customWidth="1"/>
    <col min="527" max="527" width="10.77734375" customWidth="1"/>
    <col min="528" max="528" width="13.88671875" customWidth="1"/>
    <col min="529" max="529" width="11.21875" customWidth="1"/>
    <col min="756" max="756" width="16.109375" customWidth="1"/>
    <col min="757" max="757" width="14.77734375" customWidth="1"/>
    <col min="759" max="759" width="10.6640625" customWidth="1"/>
    <col min="761" max="761" width="9.33203125" customWidth="1"/>
    <col min="763" max="763" width="16.6640625" customWidth="1"/>
    <col min="765" max="765" width="11.44140625" customWidth="1"/>
    <col min="777" max="777" width="22.6640625" customWidth="1"/>
    <col min="778" max="778" width="20.109375" customWidth="1"/>
    <col min="783" max="783" width="10.77734375" customWidth="1"/>
    <col min="784" max="784" width="13.88671875" customWidth="1"/>
    <col min="785" max="785" width="11.21875" customWidth="1"/>
    <col min="1012" max="1012" width="16.109375" customWidth="1"/>
    <col min="1013" max="1013" width="14.77734375" customWidth="1"/>
    <col min="1015" max="1015" width="10.6640625" customWidth="1"/>
    <col min="1017" max="1017" width="9.33203125" customWidth="1"/>
    <col min="1019" max="1019" width="16.6640625" customWidth="1"/>
    <col min="1021" max="1021" width="11.44140625" customWidth="1"/>
    <col min="1033" max="1033" width="22.6640625" customWidth="1"/>
    <col min="1034" max="1034" width="20.109375" customWidth="1"/>
    <col min="1039" max="1039" width="10.77734375" customWidth="1"/>
    <col min="1040" max="1040" width="13.88671875" customWidth="1"/>
    <col min="1041" max="1041" width="11.21875" customWidth="1"/>
    <col min="1268" max="1268" width="16.109375" customWidth="1"/>
    <col min="1269" max="1269" width="14.77734375" customWidth="1"/>
    <col min="1271" max="1271" width="10.6640625" customWidth="1"/>
    <col min="1273" max="1273" width="9.33203125" customWidth="1"/>
    <col min="1275" max="1275" width="16.6640625" customWidth="1"/>
    <col min="1277" max="1277" width="11.44140625" customWidth="1"/>
    <col min="1289" max="1289" width="22.6640625" customWidth="1"/>
    <col min="1290" max="1290" width="20.109375" customWidth="1"/>
    <col min="1295" max="1295" width="10.77734375" customWidth="1"/>
    <col min="1296" max="1296" width="13.88671875" customWidth="1"/>
    <col min="1297" max="1297" width="11.21875" customWidth="1"/>
    <col min="1524" max="1524" width="16.109375" customWidth="1"/>
    <col min="1525" max="1525" width="14.77734375" customWidth="1"/>
    <col min="1527" max="1527" width="10.6640625" customWidth="1"/>
    <col min="1529" max="1529" width="9.33203125" customWidth="1"/>
    <col min="1531" max="1531" width="16.6640625" customWidth="1"/>
    <col min="1533" max="1533" width="11.44140625" customWidth="1"/>
    <col min="1545" max="1545" width="22.6640625" customWidth="1"/>
    <col min="1546" max="1546" width="20.109375" customWidth="1"/>
    <col min="1551" max="1551" width="10.77734375" customWidth="1"/>
    <col min="1552" max="1552" width="13.88671875" customWidth="1"/>
    <col min="1553" max="1553" width="11.21875" customWidth="1"/>
    <col min="1780" max="1780" width="16.109375" customWidth="1"/>
    <col min="1781" max="1781" width="14.77734375" customWidth="1"/>
    <col min="1783" max="1783" width="10.6640625" customWidth="1"/>
    <col min="1785" max="1785" width="9.33203125" customWidth="1"/>
    <col min="1787" max="1787" width="16.6640625" customWidth="1"/>
    <col min="1789" max="1789" width="11.44140625" customWidth="1"/>
    <col min="1801" max="1801" width="22.6640625" customWidth="1"/>
    <col min="1802" max="1802" width="20.109375" customWidth="1"/>
    <col min="1807" max="1807" width="10.77734375" customWidth="1"/>
    <col min="1808" max="1808" width="13.88671875" customWidth="1"/>
    <col min="1809" max="1809" width="11.21875" customWidth="1"/>
    <col min="2036" max="2036" width="16.109375" customWidth="1"/>
    <col min="2037" max="2037" width="14.77734375" customWidth="1"/>
    <col min="2039" max="2039" width="10.6640625" customWidth="1"/>
    <col min="2041" max="2041" width="9.33203125" customWidth="1"/>
    <col min="2043" max="2043" width="16.6640625" customWidth="1"/>
    <col min="2045" max="2045" width="11.44140625" customWidth="1"/>
    <col min="2057" max="2057" width="22.6640625" customWidth="1"/>
    <col min="2058" max="2058" width="20.109375" customWidth="1"/>
    <col min="2063" max="2063" width="10.77734375" customWidth="1"/>
    <col min="2064" max="2064" width="13.88671875" customWidth="1"/>
    <col min="2065" max="2065" width="11.21875" customWidth="1"/>
    <col min="2292" max="2292" width="16.109375" customWidth="1"/>
    <col min="2293" max="2293" width="14.77734375" customWidth="1"/>
    <col min="2295" max="2295" width="10.6640625" customWidth="1"/>
    <col min="2297" max="2297" width="9.33203125" customWidth="1"/>
    <col min="2299" max="2299" width="16.6640625" customWidth="1"/>
    <col min="2301" max="2301" width="11.44140625" customWidth="1"/>
    <col min="2313" max="2313" width="22.6640625" customWidth="1"/>
    <col min="2314" max="2314" width="20.109375" customWidth="1"/>
    <col min="2319" max="2319" width="10.77734375" customWidth="1"/>
    <col min="2320" max="2320" width="13.88671875" customWidth="1"/>
    <col min="2321" max="2321" width="11.21875" customWidth="1"/>
    <col min="2548" max="2548" width="16.109375" customWidth="1"/>
    <col min="2549" max="2549" width="14.77734375" customWidth="1"/>
    <col min="2551" max="2551" width="10.6640625" customWidth="1"/>
    <col min="2553" max="2553" width="9.33203125" customWidth="1"/>
    <col min="2555" max="2555" width="16.6640625" customWidth="1"/>
    <col min="2557" max="2557" width="11.44140625" customWidth="1"/>
    <col min="2569" max="2569" width="22.6640625" customWidth="1"/>
    <col min="2570" max="2570" width="20.109375" customWidth="1"/>
    <col min="2575" max="2575" width="10.77734375" customWidth="1"/>
    <col min="2576" max="2576" width="13.88671875" customWidth="1"/>
    <col min="2577" max="2577" width="11.21875" customWidth="1"/>
    <col min="2804" max="2804" width="16.109375" customWidth="1"/>
    <col min="2805" max="2805" width="14.77734375" customWidth="1"/>
    <col min="2807" max="2807" width="10.6640625" customWidth="1"/>
    <col min="2809" max="2809" width="9.33203125" customWidth="1"/>
    <col min="2811" max="2811" width="16.6640625" customWidth="1"/>
    <col min="2813" max="2813" width="11.44140625" customWidth="1"/>
    <col min="2825" max="2825" width="22.6640625" customWidth="1"/>
    <col min="2826" max="2826" width="20.109375" customWidth="1"/>
    <col min="2831" max="2831" width="10.77734375" customWidth="1"/>
    <col min="2832" max="2832" width="13.88671875" customWidth="1"/>
    <col min="2833" max="2833" width="11.21875" customWidth="1"/>
    <col min="3060" max="3060" width="16.109375" customWidth="1"/>
    <col min="3061" max="3061" width="14.77734375" customWidth="1"/>
    <col min="3063" max="3063" width="10.6640625" customWidth="1"/>
    <col min="3065" max="3065" width="9.33203125" customWidth="1"/>
    <col min="3067" max="3067" width="16.6640625" customWidth="1"/>
    <col min="3069" max="3069" width="11.44140625" customWidth="1"/>
    <col min="3081" max="3081" width="22.6640625" customWidth="1"/>
    <col min="3082" max="3082" width="20.109375" customWidth="1"/>
    <col min="3087" max="3087" width="10.77734375" customWidth="1"/>
    <col min="3088" max="3088" width="13.88671875" customWidth="1"/>
    <col min="3089" max="3089" width="11.21875" customWidth="1"/>
    <col min="3316" max="3316" width="16.109375" customWidth="1"/>
    <col min="3317" max="3317" width="14.77734375" customWidth="1"/>
    <col min="3319" max="3319" width="10.6640625" customWidth="1"/>
    <col min="3321" max="3321" width="9.33203125" customWidth="1"/>
    <col min="3323" max="3323" width="16.6640625" customWidth="1"/>
    <col min="3325" max="3325" width="11.44140625" customWidth="1"/>
    <col min="3337" max="3337" width="22.6640625" customWidth="1"/>
    <col min="3338" max="3338" width="20.109375" customWidth="1"/>
    <col min="3343" max="3343" width="10.77734375" customWidth="1"/>
    <col min="3344" max="3344" width="13.88671875" customWidth="1"/>
    <col min="3345" max="3345" width="11.21875" customWidth="1"/>
    <col min="3572" max="3572" width="16.109375" customWidth="1"/>
    <col min="3573" max="3573" width="14.77734375" customWidth="1"/>
    <col min="3575" max="3575" width="10.6640625" customWidth="1"/>
    <col min="3577" max="3577" width="9.33203125" customWidth="1"/>
    <col min="3579" max="3579" width="16.6640625" customWidth="1"/>
    <col min="3581" max="3581" width="11.44140625" customWidth="1"/>
    <col min="3593" max="3593" width="22.6640625" customWidth="1"/>
    <col min="3594" max="3594" width="20.109375" customWidth="1"/>
    <col min="3599" max="3599" width="10.77734375" customWidth="1"/>
    <col min="3600" max="3600" width="13.88671875" customWidth="1"/>
    <col min="3601" max="3601" width="11.21875" customWidth="1"/>
    <col min="3828" max="3828" width="16.109375" customWidth="1"/>
    <col min="3829" max="3829" width="14.77734375" customWidth="1"/>
    <col min="3831" max="3831" width="10.6640625" customWidth="1"/>
    <col min="3833" max="3833" width="9.33203125" customWidth="1"/>
    <col min="3835" max="3835" width="16.6640625" customWidth="1"/>
    <col min="3837" max="3837" width="11.44140625" customWidth="1"/>
    <col min="3849" max="3849" width="22.6640625" customWidth="1"/>
    <col min="3850" max="3850" width="20.109375" customWidth="1"/>
    <col min="3855" max="3855" width="10.77734375" customWidth="1"/>
    <col min="3856" max="3856" width="13.88671875" customWidth="1"/>
    <col min="3857" max="3857" width="11.21875" customWidth="1"/>
    <col min="4084" max="4084" width="16.109375" customWidth="1"/>
    <col min="4085" max="4085" width="14.77734375" customWidth="1"/>
    <col min="4087" max="4087" width="10.6640625" customWidth="1"/>
    <col min="4089" max="4089" width="9.33203125" customWidth="1"/>
    <col min="4091" max="4091" width="16.6640625" customWidth="1"/>
    <col min="4093" max="4093" width="11.44140625" customWidth="1"/>
    <col min="4105" max="4105" width="22.6640625" customWidth="1"/>
    <col min="4106" max="4106" width="20.109375" customWidth="1"/>
    <col min="4111" max="4111" width="10.77734375" customWidth="1"/>
    <col min="4112" max="4112" width="13.88671875" customWidth="1"/>
    <col min="4113" max="4113" width="11.21875" customWidth="1"/>
    <col min="4340" max="4340" width="16.109375" customWidth="1"/>
    <col min="4341" max="4341" width="14.77734375" customWidth="1"/>
    <col min="4343" max="4343" width="10.6640625" customWidth="1"/>
    <col min="4345" max="4345" width="9.33203125" customWidth="1"/>
    <col min="4347" max="4347" width="16.6640625" customWidth="1"/>
    <col min="4349" max="4349" width="11.44140625" customWidth="1"/>
    <col min="4361" max="4361" width="22.6640625" customWidth="1"/>
    <col min="4362" max="4362" width="20.109375" customWidth="1"/>
    <col min="4367" max="4367" width="10.77734375" customWidth="1"/>
    <col min="4368" max="4368" width="13.88671875" customWidth="1"/>
    <col min="4369" max="4369" width="11.21875" customWidth="1"/>
    <col min="4596" max="4596" width="16.109375" customWidth="1"/>
    <col min="4597" max="4597" width="14.77734375" customWidth="1"/>
    <col min="4599" max="4599" width="10.6640625" customWidth="1"/>
    <col min="4601" max="4601" width="9.33203125" customWidth="1"/>
    <col min="4603" max="4603" width="16.6640625" customWidth="1"/>
    <col min="4605" max="4605" width="11.44140625" customWidth="1"/>
    <col min="4617" max="4617" width="22.6640625" customWidth="1"/>
    <col min="4618" max="4618" width="20.109375" customWidth="1"/>
    <col min="4623" max="4623" width="10.77734375" customWidth="1"/>
    <col min="4624" max="4624" width="13.88671875" customWidth="1"/>
    <col min="4625" max="4625" width="11.21875" customWidth="1"/>
    <col min="4852" max="4852" width="16.109375" customWidth="1"/>
    <col min="4853" max="4853" width="14.77734375" customWidth="1"/>
    <col min="4855" max="4855" width="10.6640625" customWidth="1"/>
    <col min="4857" max="4857" width="9.33203125" customWidth="1"/>
    <col min="4859" max="4859" width="16.6640625" customWidth="1"/>
    <col min="4861" max="4861" width="11.44140625" customWidth="1"/>
    <col min="4873" max="4873" width="22.6640625" customWidth="1"/>
    <col min="4874" max="4874" width="20.109375" customWidth="1"/>
    <col min="4879" max="4879" width="10.77734375" customWidth="1"/>
    <col min="4880" max="4880" width="13.88671875" customWidth="1"/>
    <col min="4881" max="4881" width="11.21875" customWidth="1"/>
    <col min="5108" max="5108" width="16.109375" customWidth="1"/>
    <col min="5109" max="5109" width="14.77734375" customWidth="1"/>
    <col min="5111" max="5111" width="10.6640625" customWidth="1"/>
    <col min="5113" max="5113" width="9.33203125" customWidth="1"/>
    <col min="5115" max="5115" width="16.6640625" customWidth="1"/>
    <col min="5117" max="5117" width="11.44140625" customWidth="1"/>
    <col min="5129" max="5129" width="22.6640625" customWidth="1"/>
    <col min="5130" max="5130" width="20.109375" customWidth="1"/>
    <col min="5135" max="5135" width="10.77734375" customWidth="1"/>
    <col min="5136" max="5136" width="13.88671875" customWidth="1"/>
    <col min="5137" max="5137" width="11.21875" customWidth="1"/>
    <col min="5364" max="5364" width="16.109375" customWidth="1"/>
    <col min="5365" max="5365" width="14.77734375" customWidth="1"/>
    <col min="5367" max="5367" width="10.6640625" customWidth="1"/>
    <col min="5369" max="5369" width="9.33203125" customWidth="1"/>
    <col min="5371" max="5371" width="16.6640625" customWidth="1"/>
    <col min="5373" max="5373" width="11.44140625" customWidth="1"/>
    <col min="5385" max="5385" width="22.6640625" customWidth="1"/>
    <col min="5386" max="5386" width="20.109375" customWidth="1"/>
    <col min="5391" max="5391" width="10.77734375" customWidth="1"/>
    <col min="5392" max="5392" width="13.88671875" customWidth="1"/>
    <col min="5393" max="5393" width="11.21875" customWidth="1"/>
    <col min="5620" max="5620" width="16.109375" customWidth="1"/>
    <col min="5621" max="5621" width="14.77734375" customWidth="1"/>
    <col min="5623" max="5623" width="10.6640625" customWidth="1"/>
    <col min="5625" max="5625" width="9.33203125" customWidth="1"/>
    <col min="5627" max="5627" width="16.6640625" customWidth="1"/>
    <col min="5629" max="5629" width="11.44140625" customWidth="1"/>
    <col min="5641" max="5641" width="22.6640625" customWidth="1"/>
    <col min="5642" max="5642" width="20.109375" customWidth="1"/>
    <col min="5647" max="5647" width="10.77734375" customWidth="1"/>
    <col min="5648" max="5648" width="13.88671875" customWidth="1"/>
    <col min="5649" max="5649" width="11.21875" customWidth="1"/>
    <col min="5876" max="5876" width="16.109375" customWidth="1"/>
    <col min="5877" max="5877" width="14.77734375" customWidth="1"/>
    <col min="5879" max="5879" width="10.6640625" customWidth="1"/>
    <col min="5881" max="5881" width="9.33203125" customWidth="1"/>
    <col min="5883" max="5883" width="16.6640625" customWidth="1"/>
    <col min="5885" max="5885" width="11.44140625" customWidth="1"/>
    <col min="5897" max="5897" width="22.6640625" customWidth="1"/>
    <col min="5898" max="5898" width="20.109375" customWidth="1"/>
    <col min="5903" max="5903" width="10.77734375" customWidth="1"/>
    <col min="5904" max="5904" width="13.88671875" customWidth="1"/>
    <col min="5905" max="5905" width="11.21875" customWidth="1"/>
    <col min="6132" max="6132" width="16.109375" customWidth="1"/>
    <col min="6133" max="6133" width="14.77734375" customWidth="1"/>
    <col min="6135" max="6135" width="10.6640625" customWidth="1"/>
    <col min="6137" max="6137" width="9.33203125" customWidth="1"/>
    <col min="6139" max="6139" width="16.6640625" customWidth="1"/>
    <col min="6141" max="6141" width="11.44140625" customWidth="1"/>
    <col min="6153" max="6153" width="22.6640625" customWidth="1"/>
    <col min="6154" max="6154" width="20.109375" customWidth="1"/>
    <col min="6159" max="6159" width="10.77734375" customWidth="1"/>
    <col min="6160" max="6160" width="13.88671875" customWidth="1"/>
    <col min="6161" max="6161" width="11.21875" customWidth="1"/>
    <col min="6388" max="6388" width="16.109375" customWidth="1"/>
    <col min="6389" max="6389" width="14.77734375" customWidth="1"/>
    <col min="6391" max="6391" width="10.6640625" customWidth="1"/>
    <col min="6393" max="6393" width="9.33203125" customWidth="1"/>
    <col min="6395" max="6395" width="16.6640625" customWidth="1"/>
    <col min="6397" max="6397" width="11.44140625" customWidth="1"/>
    <col min="6409" max="6409" width="22.6640625" customWidth="1"/>
    <col min="6410" max="6410" width="20.109375" customWidth="1"/>
    <col min="6415" max="6415" width="10.77734375" customWidth="1"/>
    <col min="6416" max="6416" width="13.88671875" customWidth="1"/>
    <col min="6417" max="6417" width="11.21875" customWidth="1"/>
    <col min="6644" max="6644" width="16.109375" customWidth="1"/>
    <col min="6645" max="6645" width="14.77734375" customWidth="1"/>
    <col min="6647" max="6647" width="10.6640625" customWidth="1"/>
    <col min="6649" max="6649" width="9.33203125" customWidth="1"/>
    <col min="6651" max="6651" width="16.6640625" customWidth="1"/>
    <col min="6653" max="6653" width="11.44140625" customWidth="1"/>
    <col min="6665" max="6665" width="22.6640625" customWidth="1"/>
    <col min="6666" max="6666" width="20.109375" customWidth="1"/>
    <col min="6671" max="6671" width="10.77734375" customWidth="1"/>
    <col min="6672" max="6672" width="13.88671875" customWidth="1"/>
    <col min="6673" max="6673" width="11.21875" customWidth="1"/>
    <col min="6900" max="6900" width="16.109375" customWidth="1"/>
    <col min="6901" max="6901" width="14.77734375" customWidth="1"/>
    <col min="6903" max="6903" width="10.6640625" customWidth="1"/>
    <col min="6905" max="6905" width="9.33203125" customWidth="1"/>
    <col min="6907" max="6907" width="16.6640625" customWidth="1"/>
    <col min="6909" max="6909" width="11.44140625" customWidth="1"/>
    <col min="6921" max="6921" width="22.6640625" customWidth="1"/>
    <col min="6922" max="6922" width="20.109375" customWidth="1"/>
    <col min="6927" max="6927" width="10.77734375" customWidth="1"/>
    <col min="6928" max="6928" width="13.88671875" customWidth="1"/>
    <col min="6929" max="6929" width="11.21875" customWidth="1"/>
    <col min="7156" max="7156" width="16.109375" customWidth="1"/>
    <col min="7157" max="7157" width="14.77734375" customWidth="1"/>
    <col min="7159" max="7159" width="10.6640625" customWidth="1"/>
    <col min="7161" max="7161" width="9.33203125" customWidth="1"/>
    <col min="7163" max="7163" width="16.6640625" customWidth="1"/>
    <col min="7165" max="7165" width="11.44140625" customWidth="1"/>
    <col min="7177" max="7177" width="22.6640625" customWidth="1"/>
    <col min="7178" max="7178" width="20.109375" customWidth="1"/>
    <col min="7183" max="7183" width="10.77734375" customWidth="1"/>
    <col min="7184" max="7184" width="13.88671875" customWidth="1"/>
    <col min="7185" max="7185" width="11.21875" customWidth="1"/>
    <col min="7412" max="7412" width="16.109375" customWidth="1"/>
    <col min="7413" max="7413" width="14.77734375" customWidth="1"/>
    <col min="7415" max="7415" width="10.6640625" customWidth="1"/>
    <col min="7417" max="7417" width="9.33203125" customWidth="1"/>
    <col min="7419" max="7419" width="16.6640625" customWidth="1"/>
    <col min="7421" max="7421" width="11.44140625" customWidth="1"/>
    <col min="7433" max="7433" width="22.6640625" customWidth="1"/>
    <col min="7434" max="7434" width="20.109375" customWidth="1"/>
    <col min="7439" max="7439" width="10.77734375" customWidth="1"/>
    <col min="7440" max="7440" width="13.88671875" customWidth="1"/>
    <col min="7441" max="7441" width="11.21875" customWidth="1"/>
    <col min="7668" max="7668" width="16.109375" customWidth="1"/>
    <col min="7669" max="7669" width="14.77734375" customWidth="1"/>
    <col min="7671" max="7671" width="10.6640625" customWidth="1"/>
    <col min="7673" max="7673" width="9.33203125" customWidth="1"/>
    <col min="7675" max="7675" width="16.6640625" customWidth="1"/>
    <col min="7677" max="7677" width="11.44140625" customWidth="1"/>
    <col min="7689" max="7689" width="22.6640625" customWidth="1"/>
    <col min="7690" max="7690" width="20.109375" customWidth="1"/>
    <col min="7695" max="7695" width="10.77734375" customWidth="1"/>
    <col min="7696" max="7696" width="13.88671875" customWidth="1"/>
    <col min="7697" max="7697" width="11.21875" customWidth="1"/>
    <col min="7924" max="7924" width="16.109375" customWidth="1"/>
    <col min="7925" max="7925" width="14.77734375" customWidth="1"/>
    <col min="7927" max="7927" width="10.6640625" customWidth="1"/>
    <col min="7929" max="7929" width="9.33203125" customWidth="1"/>
    <col min="7931" max="7931" width="16.6640625" customWidth="1"/>
    <col min="7933" max="7933" width="11.44140625" customWidth="1"/>
    <col min="7945" max="7945" width="22.6640625" customWidth="1"/>
    <col min="7946" max="7946" width="20.109375" customWidth="1"/>
    <col min="7951" max="7951" width="10.77734375" customWidth="1"/>
    <col min="7952" max="7952" width="13.88671875" customWidth="1"/>
    <col min="7953" max="7953" width="11.21875" customWidth="1"/>
    <col min="8180" max="8180" width="16.109375" customWidth="1"/>
    <col min="8181" max="8181" width="14.77734375" customWidth="1"/>
    <col min="8183" max="8183" width="10.6640625" customWidth="1"/>
    <col min="8185" max="8185" width="9.33203125" customWidth="1"/>
    <col min="8187" max="8187" width="16.6640625" customWidth="1"/>
    <col min="8189" max="8189" width="11.44140625" customWidth="1"/>
    <col min="8201" max="8201" width="22.6640625" customWidth="1"/>
    <col min="8202" max="8202" width="20.109375" customWidth="1"/>
    <col min="8207" max="8207" width="10.77734375" customWidth="1"/>
    <col min="8208" max="8208" width="13.88671875" customWidth="1"/>
    <col min="8209" max="8209" width="11.21875" customWidth="1"/>
    <col min="8436" max="8436" width="16.109375" customWidth="1"/>
    <col min="8437" max="8437" width="14.77734375" customWidth="1"/>
    <col min="8439" max="8439" width="10.6640625" customWidth="1"/>
    <col min="8441" max="8441" width="9.33203125" customWidth="1"/>
    <col min="8443" max="8443" width="16.6640625" customWidth="1"/>
    <col min="8445" max="8445" width="11.44140625" customWidth="1"/>
    <col min="8457" max="8457" width="22.6640625" customWidth="1"/>
    <col min="8458" max="8458" width="20.109375" customWidth="1"/>
    <col min="8463" max="8463" width="10.77734375" customWidth="1"/>
    <col min="8464" max="8464" width="13.88671875" customWidth="1"/>
    <col min="8465" max="8465" width="11.21875" customWidth="1"/>
    <col min="8692" max="8692" width="16.109375" customWidth="1"/>
    <col min="8693" max="8693" width="14.77734375" customWidth="1"/>
    <col min="8695" max="8695" width="10.6640625" customWidth="1"/>
    <col min="8697" max="8697" width="9.33203125" customWidth="1"/>
    <col min="8699" max="8699" width="16.6640625" customWidth="1"/>
    <col min="8701" max="8701" width="11.44140625" customWidth="1"/>
    <col min="8713" max="8713" width="22.6640625" customWidth="1"/>
    <col min="8714" max="8714" width="20.109375" customWidth="1"/>
    <col min="8719" max="8719" width="10.77734375" customWidth="1"/>
    <col min="8720" max="8720" width="13.88671875" customWidth="1"/>
    <col min="8721" max="8721" width="11.21875" customWidth="1"/>
    <col min="8948" max="8948" width="16.109375" customWidth="1"/>
    <col min="8949" max="8949" width="14.77734375" customWidth="1"/>
    <col min="8951" max="8951" width="10.6640625" customWidth="1"/>
    <col min="8953" max="8953" width="9.33203125" customWidth="1"/>
    <col min="8955" max="8955" width="16.6640625" customWidth="1"/>
    <col min="8957" max="8957" width="11.44140625" customWidth="1"/>
    <col min="8969" max="8969" width="22.6640625" customWidth="1"/>
    <col min="8970" max="8970" width="20.109375" customWidth="1"/>
    <col min="8975" max="8975" width="10.77734375" customWidth="1"/>
    <col min="8976" max="8976" width="13.88671875" customWidth="1"/>
    <col min="8977" max="8977" width="11.21875" customWidth="1"/>
    <col min="9204" max="9204" width="16.109375" customWidth="1"/>
    <col min="9205" max="9205" width="14.77734375" customWidth="1"/>
    <col min="9207" max="9207" width="10.6640625" customWidth="1"/>
    <col min="9209" max="9209" width="9.33203125" customWidth="1"/>
    <col min="9211" max="9211" width="16.6640625" customWidth="1"/>
    <col min="9213" max="9213" width="11.44140625" customWidth="1"/>
    <col min="9225" max="9225" width="22.6640625" customWidth="1"/>
    <col min="9226" max="9226" width="20.109375" customWidth="1"/>
    <col min="9231" max="9231" width="10.77734375" customWidth="1"/>
    <col min="9232" max="9232" width="13.88671875" customWidth="1"/>
    <col min="9233" max="9233" width="11.21875" customWidth="1"/>
    <col min="9460" max="9460" width="16.109375" customWidth="1"/>
    <col min="9461" max="9461" width="14.77734375" customWidth="1"/>
    <col min="9463" max="9463" width="10.6640625" customWidth="1"/>
    <col min="9465" max="9465" width="9.33203125" customWidth="1"/>
    <col min="9467" max="9467" width="16.6640625" customWidth="1"/>
    <col min="9469" max="9469" width="11.44140625" customWidth="1"/>
    <col min="9481" max="9481" width="22.6640625" customWidth="1"/>
    <col min="9482" max="9482" width="20.109375" customWidth="1"/>
    <col min="9487" max="9487" width="10.77734375" customWidth="1"/>
    <col min="9488" max="9488" width="13.88671875" customWidth="1"/>
    <col min="9489" max="9489" width="11.21875" customWidth="1"/>
    <col min="9716" max="9716" width="16.109375" customWidth="1"/>
    <col min="9717" max="9717" width="14.77734375" customWidth="1"/>
    <col min="9719" max="9719" width="10.6640625" customWidth="1"/>
    <col min="9721" max="9721" width="9.33203125" customWidth="1"/>
    <col min="9723" max="9723" width="16.6640625" customWidth="1"/>
    <col min="9725" max="9725" width="11.44140625" customWidth="1"/>
    <col min="9737" max="9737" width="22.6640625" customWidth="1"/>
    <col min="9738" max="9738" width="20.109375" customWidth="1"/>
    <col min="9743" max="9743" width="10.77734375" customWidth="1"/>
    <col min="9744" max="9744" width="13.88671875" customWidth="1"/>
    <col min="9745" max="9745" width="11.21875" customWidth="1"/>
    <col min="9972" max="9972" width="16.109375" customWidth="1"/>
    <col min="9973" max="9973" width="14.77734375" customWidth="1"/>
    <col min="9975" max="9975" width="10.6640625" customWidth="1"/>
    <col min="9977" max="9977" width="9.33203125" customWidth="1"/>
    <col min="9979" max="9979" width="16.6640625" customWidth="1"/>
    <col min="9981" max="9981" width="11.44140625" customWidth="1"/>
    <col min="9993" max="9993" width="22.6640625" customWidth="1"/>
    <col min="9994" max="9994" width="20.109375" customWidth="1"/>
    <col min="9999" max="9999" width="10.77734375" customWidth="1"/>
    <col min="10000" max="10000" width="13.88671875" customWidth="1"/>
    <col min="10001" max="10001" width="11.21875" customWidth="1"/>
    <col min="10228" max="10228" width="16.109375" customWidth="1"/>
    <col min="10229" max="10229" width="14.77734375" customWidth="1"/>
    <col min="10231" max="10231" width="10.6640625" customWidth="1"/>
    <col min="10233" max="10233" width="9.33203125" customWidth="1"/>
    <col min="10235" max="10235" width="16.6640625" customWidth="1"/>
    <col min="10237" max="10237" width="11.44140625" customWidth="1"/>
    <col min="10249" max="10249" width="22.6640625" customWidth="1"/>
    <col min="10250" max="10250" width="20.109375" customWidth="1"/>
    <col min="10255" max="10255" width="10.77734375" customWidth="1"/>
    <col min="10256" max="10256" width="13.88671875" customWidth="1"/>
    <col min="10257" max="10257" width="11.21875" customWidth="1"/>
    <col min="10484" max="10484" width="16.109375" customWidth="1"/>
    <col min="10485" max="10485" width="14.77734375" customWidth="1"/>
    <col min="10487" max="10487" width="10.6640625" customWidth="1"/>
    <col min="10489" max="10489" width="9.33203125" customWidth="1"/>
    <col min="10491" max="10491" width="16.6640625" customWidth="1"/>
    <col min="10493" max="10493" width="11.44140625" customWidth="1"/>
    <col min="10505" max="10505" width="22.6640625" customWidth="1"/>
    <col min="10506" max="10506" width="20.109375" customWidth="1"/>
    <col min="10511" max="10511" width="10.77734375" customWidth="1"/>
    <col min="10512" max="10512" width="13.88671875" customWidth="1"/>
    <col min="10513" max="10513" width="11.21875" customWidth="1"/>
    <col min="10740" max="10740" width="16.109375" customWidth="1"/>
    <col min="10741" max="10741" width="14.77734375" customWidth="1"/>
    <col min="10743" max="10743" width="10.6640625" customWidth="1"/>
    <col min="10745" max="10745" width="9.33203125" customWidth="1"/>
    <col min="10747" max="10747" width="16.6640625" customWidth="1"/>
    <col min="10749" max="10749" width="11.44140625" customWidth="1"/>
    <col min="10761" max="10761" width="22.6640625" customWidth="1"/>
    <col min="10762" max="10762" width="20.109375" customWidth="1"/>
    <col min="10767" max="10767" width="10.77734375" customWidth="1"/>
    <col min="10768" max="10768" width="13.88671875" customWidth="1"/>
    <col min="10769" max="10769" width="11.21875" customWidth="1"/>
    <col min="10996" max="10996" width="16.109375" customWidth="1"/>
    <col min="10997" max="10997" width="14.77734375" customWidth="1"/>
    <col min="10999" max="10999" width="10.6640625" customWidth="1"/>
    <col min="11001" max="11001" width="9.33203125" customWidth="1"/>
    <col min="11003" max="11003" width="16.6640625" customWidth="1"/>
    <col min="11005" max="11005" width="11.44140625" customWidth="1"/>
    <col min="11017" max="11017" width="22.6640625" customWidth="1"/>
    <col min="11018" max="11018" width="20.109375" customWidth="1"/>
    <col min="11023" max="11023" width="10.77734375" customWidth="1"/>
    <col min="11024" max="11024" width="13.88671875" customWidth="1"/>
    <col min="11025" max="11025" width="11.21875" customWidth="1"/>
    <col min="11252" max="11252" width="16.109375" customWidth="1"/>
    <col min="11253" max="11253" width="14.77734375" customWidth="1"/>
    <col min="11255" max="11255" width="10.6640625" customWidth="1"/>
    <col min="11257" max="11257" width="9.33203125" customWidth="1"/>
    <col min="11259" max="11259" width="16.6640625" customWidth="1"/>
    <col min="11261" max="11261" width="11.44140625" customWidth="1"/>
    <col min="11273" max="11273" width="22.6640625" customWidth="1"/>
    <col min="11274" max="11274" width="20.109375" customWidth="1"/>
    <col min="11279" max="11279" width="10.77734375" customWidth="1"/>
    <col min="11280" max="11280" width="13.88671875" customWidth="1"/>
    <col min="11281" max="11281" width="11.21875" customWidth="1"/>
    <col min="11508" max="11508" width="16.109375" customWidth="1"/>
    <col min="11509" max="11509" width="14.77734375" customWidth="1"/>
    <col min="11511" max="11511" width="10.6640625" customWidth="1"/>
    <col min="11513" max="11513" width="9.33203125" customWidth="1"/>
    <col min="11515" max="11515" width="16.6640625" customWidth="1"/>
    <col min="11517" max="11517" width="11.44140625" customWidth="1"/>
    <col min="11529" max="11529" width="22.6640625" customWidth="1"/>
    <col min="11530" max="11530" width="20.109375" customWidth="1"/>
    <col min="11535" max="11535" width="10.77734375" customWidth="1"/>
    <col min="11536" max="11536" width="13.88671875" customWidth="1"/>
    <col min="11537" max="11537" width="11.21875" customWidth="1"/>
    <col min="11764" max="11764" width="16.109375" customWidth="1"/>
    <col min="11765" max="11765" width="14.77734375" customWidth="1"/>
    <col min="11767" max="11767" width="10.6640625" customWidth="1"/>
    <col min="11769" max="11769" width="9.33203125" customWidth="1"/>
    <col min="11771" max="11771" width="16.6640625" customWidth="1"/>
    <col min="11773" max="11773" width="11.44140625" customWidth="1"/>
    <col min="11785" max="11785" width="22.6640625" customWidth="1"/>
    <col min="11786" max="11786" width="20.109375" customWidth="1"/>
    <col min="11791" max="11791" width="10.77734375" customWidth="1"/>
    <col min="11792" max="11792" width="13.88671875" customWidth="1"/>
    <col min="11793" max="11793" width="11.21875" customWidth="1"/>
    <col min="12020" max="12020" width="16.109375" customWidth="1"/>
    <col min="12021" max="12021" width="14.77734375" customWidth="1"/>
    <col min="12023" max="12023" width="10.6640625" customWidth="1"/>
    <col min="12025" max="12025" width="9.33203125" customWidth="1"/>
    <col min="12027" max="12027" width="16.6640625" customWidth="1"/>
    <col min="12029" max="12029" width="11.44140625" customWidth="1"/>
    <col min="12041" max="12041" width="22.6640625" customWidth="1"/>
    <col min="12042" max="12042" width="20.109375" customWidth="1"/>
    <col min="12047" max="12047" width="10.77734375" customWidth="1"/>
    <col min="12048" max="12048" width="13.88671875" customWidth="1"/>
    <col min="12049" max="12049" width="11.21875" customWidth="1"/>
    <col min="12276" max="12276" width="16.109375" customWidth="1"/>
    <col min="12277" max="12277" width="14.77734375" customWidth="1"/>
    <col min="12279" max="12279" width="10.6640625" customWidth="1"/>
    <col min="12281" max="12281" width="9.33203125" customWidth="1"/>
    <col min="12283" max="12283" width="16.6640625" customWidth="1"/>
    <col min="12285" max="12285" width="11.44140625" customWidth="1"/>
    <col min="12297" max="12297" width="22.6640625" customWidth="1"/>
    <col min="12298" max="12298" width="20.109375" customWidth="1"/>
    <col min="12303" max="12303" width="10.77734375" customWidth="1"/>
    <col min="12304" max="12304" width="13.88671875" customWidth="1"/>
    <col min="12305" max="12305" width="11.21875" customWidth="1"/>
    <col min="12532" max="12532" width="16.109375" customWidth="1"/>
    <col min="12533" max="12533" width="14.77734375" customWidth="1"/>
    <col min="12535" max="12535" width="10.6640625" customWidth="1"/>
    <col min="12537" max="12537" width="9.33203125" customWidth="1"/>
    <col min="12539" max="12539" width="16.6640625" customWidth="1"/>
    <col min="12541" max="12541" width="11.44140625" customWidth="1"/>
    <col min="12553" max="12553" width="22.6640625" customWidth="1"/>
    <col min="12554" max="12554" width="20.109375" customWidth="1"/>
    <col min="12559" max="12559" width="10.77734375" customWidth="1"/>
    <col min="12560" max="12560" width="13.88671875" customWidth="1"/>
    <col min="12561" max="12561" width="11.21875" customWidth="1"/>
    <col min="12788" max="12788" width="16.109375" customWidth="1"/>
    <col min="12789" max="12789" width="14.77734375" customWidth="1"/>
    <col min="12791" max="12791" width="10.6640625" customWidth="1"/>
    <col min="12793" max="12793" width="9.33203125" customWidth="1"/>
    <col min="12795" max="12795" width="16.6640625" customWidth="1"/>
    <col min="12797" max="12797" width="11.44140625" customWidth="1"/>
    <col min="12809" max="12809" width="22.6640625" customWidth="1"/>
    <col min="12810" max="12810" width="20.109375" customWidth="1"/>
    <col min="12815" max="12815" width="10.77734375" customWidth="1"/>
    <col min="12816" max="12816" width="13.88671875" customWidth="1"/>
    <col min="12817" max="12817" width="11.21875" customWidth="1"/>
    <col min="13044" max="13044" width="16.109375" customWidth="1"/>
    <col min="13045" max="13045" width="14.77734375" customWidth="1"/>
    <col min="13047" max="13047" width="10.6640625" customWidth="1"/>
    <col min="13049" max="13049" width="9.33203125" customWidth="1"/>
    <col min="13051" max="13051" width="16.6640625" customWidth="1"/>
    <col min="13053" max="13053" width="11.44140625" customWidth="1"/>
    <col min="13065" max="13065" width="22.6640625" customWidth="1"/>
    <col min="13066" max="13066" width="20.109375" customWidth="1"/>
    <col min="13071" max="13071" width="10.77734375" customWidth="1"/>
    <col min="13072" max="13072" width="13.88671875" customWidth="1"/>
    <col min="13073" max="13073" width="11.21875" customWidth="1"/>
    <col min="13300" max="13300" width="16.109375" customWidth="1"/>
    <col min="13301" max="13301" width="14.77734375" customWidth="1"/>
    <col min="13303" max="13303" width="10.6640625" customWidth="1"/>
    <col min="13305" max="13305" width="9.33203125" customWidth="1"/>
    <col min="13307" max="13307" width="16.6640625" customWidth="1"/>
    <col min="13309" max="13309" width="11.44140625" customWidth="1"/>
    <col min="13321" max="13321" width="22.6640625" customWidth="1"/>
    <col min="13322" max="13322" width="20.109375" customWidth="1"/>
    <col min="13327" max="13327" width="10.77734375" customWidth="1"/>
    <col min="13328" max="13328" width="13.88671875" customWidth="1"/>
    <col min="13329" max="13329" width="11.21875" customWidth="1"/>
    <col min="13556" max="13556" width="16.109375" customWidth="1"/>
    <col min="13557" max="13557" width="14.77734375" customWidth="1"/>
    <col min="13559" max="13559" width="10.6640625" customWidth="1"/>
    <col min="13561" max="13561" width="9.33203125" customWidth="1"/>
    <col min="13563" max="13563" width="16.6640625" customWidth="1"/>
    <col min="13565" max="13565" width="11.44140625" customWidth="1"/>
    <col min="13577" max="13577" width="22.6640625" customWidth="1"/>
    <col min="13578" max="13578" width="20.109375" customWidth="1"/>
    <col min="13583" max="13583" width="10.77734375" customWidth="1"/>
    <col min="13584" max="13584" width="13.88671875" customWidth="1"/>
    <col min="13585" max="13585" width="11.21875" customWidth="1"/>
    <col min="13812" max="13812" width="16.109375" customWidth="1"/>
    <col min="13813" max="13813" width="14.77734375" customWidth="1"/>
    <col min="13815" max="13815" width="10.6640625" customWidth="1"/>
    <col min="13817" max="13817" width="9.33203125" customWidth="1"/>
    <col min="13819" max="13819" width="16.6640625" customWidth="1"/>
    <col min="13821" max="13821" width="11.44140625" customWidth="1"/>
    <col min="13833" max="13833" width="22.6640625" customWidth="1"/>
    <col min="13834" max="13834" width="20.109375" customWidth="1"/>
    <col min="13839" max="13839" width="10.77734375" customWidth="1"/>
    <col min="13840" max="13840" width="13.88671875" customWidth="1"/>
    <col min="13841" max="13841" width="11.21875" customWidth="1"/>
    <col min="14068" max="14068" width="16.109375" customWidth="1"/>
    <col min="14069" max="14069" width="14.77734375" customWidth="1"/>
    <col min="14071" max="14071" width="10.6640625" customWidth="1"/>
    <col min="14073" max="14073" width="9.33203125" customWidth="1"/>
    <col min="14075" max="14075" width="16.6640625" customWidth="1"/>
    <col min="14077" max="14077" width="11.44140625" customWidth="1"/>
    <col min="14089" max="14089" width="22.6640625" customWidth="1"/>
    <col min="14090" max="14090" width="20.109375" customWidth="1"/>
    <col min="14095" max="14095" width="10.77734375" customWidth="1"/>
    <col min="14096" max="14096" width="13.88671875" customWidth="1"/>
    <col min="14097" max="14097" width="11.21875" customWidth="1"/>
    <col min="14324" max="14324" width="16.109375" customWidth="1"/>
    <col min="14325" max="14325" width="14.77734375" customWidth="1"/>
    <col min="14327" max="14327" width="10.6640625" customWidth="1"/>
    <col min="14329" max="14329" width="9.33203125" customWidth="1"/>
    <col min="14331" max="14331" width="16.6640625" customWidth="1"/>
    <col min="14333" max="14333" width="11.44140625" customWidth="1"/>
    <col min="14345" max="14345" width="22.6640625" customWidth="1"/>
    <col min="14346" max="14346" width="20.109375" customWidth="1"/>
    <col min="14351" max="14351" width="10.77734375" customWidth="1"/>
    <col min="14352" max="14352" width="13.88671875" customWidth="1"/>
    <col min="14353" max="14353" width="11.21875" customWidth="1"/>
    <col min="14580" max="14580" width="16.109375" customWidth="1"/>
    <col min="14581" max="14581" width="14.77734375" customWidth="1"/>
    <col min="14583" max="14583" width="10.6640625" customWidth="1"/>
    <col min="14585" max="14585" width="9.33203125" customWidth="1"/>
    <col min="14587" max="14587" width="16.6640625" customWidth="1"/>
    <col min="14589" max="14589" width="11.44140625" customWidth="1"/>
    <col min="14601" max="14601" width="22.6640625" customWidth="1"/>
    <col min="14602" max="14602" width="20.109375" customWidth="1"/>
    <col min="14607" max="14607" width="10.77734375" customWidth="1"/>
    <col min="14608" max="14608" width="13.88671875" customWidth="1"/>
    <col min="14609" max="14609" width="11.21875" customWidth="1"/>
    <col min="14836" max="14836" width="16.109375" customWidth="1"/>
    <col min="14837" max="14837" width="14.77734375" customWidth="1"/>
    <col min="14839" max="14839" width="10.6640625" customWidth="1"/>
    <col min="14841" max="14841" width="9.33203125" customWidth="1"/>
    <col min="14843" max="14843" width="16.6640625" customWidth="1"/>
    <col min="14845" max="14845" width="11.44140625" customWidth="1"/>
    <col min="14857" max="14857" width="22.6640625" customWidth="1"/>
    <col min="14858" max="14858" width="20.109375" customWidth="1"/>
    <col min="14863" max="14863" width="10.77734375" customWidth="1"/>
    <col min="14864" max="14864" width="13.88671875" customWidth="1"/>
    <col min="14865" max="14865" width="11.21875" customWidth="1"/>
    <col min="15092" max="15092" width="16.109375" customWidth="1"/>
    <col min="15093" max="15093" width="14.77734375" customWidth="1"/>
    <col min="15095" max="15095" width="10.6640625" customWidth="1"/>
    <col min="15097" max="15097" width="9.33203125" customWidth="1"/>
    <col min="15099" max="15099" width="16.6640625" customWidth="1"/>
    <col min="15101" max="15101" width="11.44140625" customWidth="1"/>
    <col min="15113" max="15113" width="22.6640625" customWidth="1"/>
    <col min="15114" max="15114" width="20.109375" customWidth="1"/>
    <col min="15119" max="15119" width="10.77734375" customWidth="1"/>
    <col min="15120" max="15120" width="13.88671875" customWidth="1"/>
    <col min="15121" max="15121" width="11.21875" customWidth="1"/>
    <col min="15348" max="15348" width="16.109375" customWidth="1"/>
    <col min="15349" max="15349" width="14.77734375" customWidth="1"/>
    <col min="15351" max="15351" width="10.6640625" customWidth="1"/>
    <col min="15353" max="15353" width="9.33203125" customWidth="1"/>
    <col min="15355" max="15355" width="16.6640625" customWidth="1"/>
    <col min="15357" max="15357" width="11.44140625" customWidth="1"/>
    <col min="15369" max="15369" width="22.6640625" customWidth="1"/>
    <col min="15370" max="15370" width="20.109375" customWidth="1"/>
    <col min="15375" max="15375" width="10.77734375" customWidth="1"/>
    <col min="15376" max="15376" width="13.88671875" customWidth="1"/>
    <col min="15377" max="15377" width="11.21875" customWidth="1"/>
    <col min="15604" max="15604" width="16.109375" customWidth="1"/>
    <col min="15605" max="15605" width="14.77734375" customWidth="1"/>
    <col min="15607" max="15607" width="10.6640625" customWidth="1"/>
    <col min="15609" max="15609" width="9.33203125" customWidth="1"/>
    <col min="15611" max="15611" width="16.6640625" customWidth="1"/>
    <col min="15613" max="15613" width="11.44140625" customWidth="1"/>
    <col min="15625" max="15625" width="22.6640625" customWidth="1"/>
    <col min="15626" max="15626" width="20.109375" customWidth="1"/>
    <col min="15631" max="15631" width="10.77734375" customWidth="1"/>
    <col min="15632" max="15632" width="13.88671875" customWidth="1"/>
    <col min="15633" max="15633" width="11.21875" customWidth="1"/>
    <col min="15860" max="15860" width="16.109375" customWidth="1"/>
    <col min="15861" max="15861" width="14.77734375" customWidth="1"/>
    <col min="15863" max="15863" width="10.6640625" customWidth="1"/>
    <col min="15865" max="15865" width="9.33203125" customWidth="1"/>
    <col min="15867" max="15867" width="16.6640625" customWidth="1"/>
    <col min="15869" max="15869" width="11.44140625" customWidth="1"/>
    <col min="15881" max="15881" width="22.6640625" customWidth="1"/>
    <col min="15882" max="15882" width="20.109375" customWidth="1"/>
    <col min="15887" max="15887" width="10.77734375" customWidth="1"/>
    <col min="15888" max="15888" width="13.88671875" customWidth="1"/>
    <col min="15889" max="15889" width="11.21875" customWidth="1"/>
    <col min="16116" max="16116" width="16.109375" customWidth="1"/>
    <col min="16117" max="16117" width="14.77734375" customWidth="1"/>
    <col min="16119" max="16119" width="10.6640625" customWidth="1"/>
    <col min="16121" max="16121" width="9.33203125" customWidth="1"/>
    <col min="16123" max="16123" width="16.6640625" customWidth="1"/>
    <col min="16125" max="16125" width="11.44140625" customWidth="1"/>
    <col min="16137" max="16137" width="22.6640625" customWidth="1"/>
    <col min="16138" max="16138" width="20.109375" customWidth="1"/>
    <col min="16143" max="16143" width="10.77734375" customWidth="1"/>
    <col min="16144" max="16144" width="13.88671875" customWidth="1"/>
    <col min="16145" max="16145" width="11.21875" customWidth="1"/>
  </cols>
  <sheetData>
    <row r="2" spans="1:8" x14ac:dyDescent="0.3">
      <c r="B2" s="4" t="s">
        <v>75</v>
      </c>
      <c r="C2" s="4"/>
    </row>
    <row r="3" spans="1:8" x14ac:dyDescent="0.3">
      <c r="A3" s="3" t="s">
        <v>58</v>
      </c>
      <c r="B3" s="8">
        <v>2040</v>
      </c>
      <c r="C3" s="4" t="s">
        <v>74</v>
      </c>
      <c r="D3" s="4" t="s">
        <v>76</v>
      </c>
      <c r="E3" s="4" t="s">
        <v>77</v>
      </c>
      <c r="G3" s="4" t="s">
        <v>78</v>
      </c>
      <c r="H3" s="4" t="s">
        <v>77</v>
      </c>
    </row>
    <row r="4" spans="1:8" x14ac:dyDescent="0.3">
      <c r="A4" t="s">
        <v>59</v>
      </c>
      <c r="B4" s="4">
        <v>0</v>
      </c>
      <c r="C4" s="10">
        <f>100*B4/$B$3</f>
        <v>0</v>
      </c>
      <c r="D4" s="10">
        <f>C4</f>
        <v>0</v>
      </c>
      <c r="E4" s="10">
        <f>100-D4</f>
        <v>100</v>
      </c>
      <c r="G4" s="4" t="s">
        <v>60</v>
      </c>
      <c r="H4" s="15">
        <f>E10</f>
        <v>1.1764705882353041</v>
      </c>
    </row>
    <row r="5" spans="1:8" x14ac:dyDescent="0.3">
      <c r="A5" t="s">
        <v>61</v>
      </c>
      <c r="B5" s="4">
        <v>192</v>
      </c>
      <c r="C5" s="10">
        <f>100*B5/$B$3</f>
        <v>9.4117647058823533</v>
      </c>
      <c r="D5" s="10">
        <f>D4+C5</f>
        <v>9.4117647058823533</v>
      </c>
      <c r="E5" s="10">
        <f t="shared" ref="E5:E11" si="0">100-D5</f>
        <v>90.588235294117652</v>
      </c>
      <c r="G5" s="4" t="s">
        <v>62</v>
      </c>
      <c r="H5" s="15">
        <f>E9</f>
        <v>10.588235294117652</v>
      </c>
    </row>
    <row r="6" spans="1:8" x14ac:dyDescent="0.3">
      <c r="A6" t="s">
        <v>63</v>
      </c>
      <c r="B6" s="4">
        <v>624</v>
      </c>
      <c r="C6" s="10">
        <f t="shared" ref="C6:C11" si="1">100*B6/$B$3</f>
        <v>30.588235294117649</v>
      </c>
      <c r="D6" s="10">
        <f>D5+C6</f>
        <v>40</v>
      </c>
      <c r="E6" s="10">
        <f t="shared" si="0"/>
        <v>60</v>
      </c>
      <c r="G6" s="4" t="s">
        <v>64</v>
      </c>
      <c r="H6" s="15">
        <f>E8</f>
        <v>40</v>
      </c>
    </row>
    <row r="7" spans="1:8" x14ac:dyDescent="0.3">
      <c r="A7" t="s">
        <v>65</v>
      </c>
      <c r="B7" s="4">
        <v>240</v>
      </c>
      <c r="C7" s="10">
        <f t="shared" si="1"/>
        <v>11.764705882352942</v>
      </c>
      <c r="D7" s="10">
        <f>D6+C7</f>
        <v>51.764705882352942</v>
      </c>
      <c r="E7" s="10">
        <f t="shared" si="0"/>
        <v>48.235294117647058</v>
      </c>
      <c r="G7" s="4" t="s">
        <v>66</v>
      </c>
      <c r="H7" s="15">
        <f>E7</f>
        <v>48.235294117647058</v>
      </c>
    </row>
    <row r="8" spans="1:8" x14ac:dyDescent="0.3">
      <c r="A8" t="s">
        <v>67</v>
      </c>
      <c r="B8" s="4">
        <v>168</v>
      </c>
      <c r="C8" s="10">
        <f t="shared" si="1"/>
        <v>8.235294117647058</v>
      </c>
      <c r="D8" s="10">
        <f>D7+C8</f>
        <v>60</v>
      </c>
      <c r="E8" s="10">
        <f t="shared" si="0"/>
        <v>40</v>
      </c>
      <c r="G8" s="4" t="s">
        <v>68</v>
      </c>
      <c r="H8" s="15">
        <f>E6</f>
        <v>60</v>
      </c>
    </row>
    <row r="9" spans="1:8" x14ac:dyDescent="0.3">
      <c r="A9" t="s">
        <v>69</v>
      </c>
      <c r="B9" s="4">
        <v>600</v>
      </c>
      <c r="C9" s="10">
        <f t="shared" si="1"/>
        <v>29.411764705882351</v>
      </c>
      <c r="D9" s="10">
        <f>D8+C9</f>
        <v>89.411764705882348</v>
      </c>
      <c r="E9" s="10">
        <f t="shared" si="0"/>
        <v>10.588235294117652</v>
      </c>
      <c r="G9" s="4" t="s">
        <v>70</v>
      </c>
      <c r="H9" s="15">
        <f>E5</f>
        <v>90.588235294117652</v>
      </c>
    </row>
    <row r="10" spans="1:8" x14ac:dyDescent="0.3">
      <c r="A10" t="s">
        <v>71</v>
      </c>
      <c r="B10" s="4">
        <v>192</v>
      </c>
      <c r="C10" s="10">
        <f t="shared" si="1"/>
        <v>9.4117647058823533</v>
      </c>
      <c r="D10" s="10">
        <f>D9+C10</f>
        <v>98.823529411764696</v>
      </c>
      <c r="E10" s="10">
        <f t="shared" si="0"/>
        <v>1.1764705882353041</v>
      </c>
      <c r="G10" s="4" t="s">
        <v>72</v>
      </c>
      <c r="H10" s="15">
        <f>E4</f>
        <v>100</v>
      </c>
    </row>
    <row r="11" spans="1:8" x14ac:dyDescent="0.3">
      <c r="A11" t="s">
        <v>73</v>
      </c>
      <c r="B11" s="4">
        <v>24</v>
      </c>
      <c r="C11" s="10">
        <f t="shared" si="1"/>
        <v>1.1764705882352942</v>
      </c>
      <c r="D11" s="10">
        <f>D10+C11</f>
        <v>99.999999999999986</v>
      </c>
      <c r="E11" s="10">
        <f t="shared" si="0"/>
        <v>0</v>
      </c>
    </row>
    <row r="12" spans="1:8" x14ac:dyDescent="0.3">
      <c r="A12" t="s">
        <v>3</v>
      </c>
      <c r="B12" s="4">
        <f>SUM(B5:B11)</f>
        <v>2040</v>
      </c>
    </row>
    <row r="14" spans="1:8" x14ac:dyDescent="0.3">
      <c r="A14" s="17"/>
    </row>
    <row r="16" spans="1:8" x14ac:dyDescent="0.3">
      <c r="B16" s="16"/>
    </row>
    <row r="17" spans="2:2" x14ac:dyDescent="0.3">
      <c r="B17" s="16"/>
    </row>
  </sheetData>
  <pageMargins left="0.7" right="0.7" top="0.75" bottom="0.75" header="0.3" footer="0.3"/>
  <pageSetup orientation="portrait" horizontalDpi="1200" verticalDpi="1200" r:id="rId1"/>
  <ignoredErrors>
    <ignoredError sqref="B1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Fig 1 - Conc. Agg. Sieve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reginald-kogbara</dc:creator>
  <cp:lastModifiedBy>reginald-kogbara</cp:lastModifiedBy>
  <dcterms:created xsi:type="dcterms:W3CDTF">2023-07-15T18:17:59Z</dcterms:created>
  <dcterms:modified xsi:type="dcterms:W3CDTF">2023-07-25T20:09:19Z</dcterms:modified>
</cp:coreProperties>
</file>